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isez-moi" sheetId="1" state="visible" r:id="rId3"/>
    <sheet name="Chimie_Tableau1" sheetId="2" state="visible" r:id="rId4"/>
    <sheet name="Study" sheetId="3" state="visible" r:id="rId5"/>
    <sheet name="Samples_water (ERC000024)" sheetId="4" state="visible" r:id="rId6"/>
    <sheet name="Samples_sediment (ERC000021)" sheetId="5" state="visible" r:id="rId7"/>
    <sheet name="Ru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<sst xmlns="http://schemas.openxmlformats.org/spreadsheetml/2006/main" count="565" uniqueCount="235">
  <si>
    <t xml:space="preserve">Métadonnées ENA - Korbous (Aïn Kanassira), 16S rRNA V4</t>
  </si>
  <si>
    <t xml:space="preserve">Comment s'en servir</t>
  </si>
  <si>
    <t xml:space="preserve">1. Webin (https://www.ebi.ac.uk/ena/submit/webin) &gt; Register Study : copier l'onglet Study.</t>
  </si>
  <si>
    <t xml:space="preserve">2. Register Samples &gt; Download spreadsheet : télécharger le modèle de la checklist GSC MIxS water (ERC000024), puis celui de GSC MIxS sediment (ERC000021).</t>
  </si>
  <si>
    <t xml:space="preserve">3. Copier les valeurs des onglets Samples_water et Samples_sediment dans les colonnes de même nom du modèle (les en-têtes reprennent les noms des champs Webin).</t>
  </si>
  <si>
    <t xml:space="preserve">4. Les colonnes absentes d'un modèle (sulfate, sulfide...) peuvent être ajoutées comme attributs libres, ou supprimées.</t>
  </si>
  <si>
    <t xml:space="preserve">5. Déposer les FASTQ (FTP ou Webin-CLI), puis l'onglet Runs (Submit reads &gt; read spreadsheet).</t>
  </si>
  <si>
    <t xml:space="preserve">Profondeurs d'eau renseignées le 26/10/2026 (MWC 4 m sous la surface ; MAWS et MBWS prélevés à 10 cm des résurgences, à 8 et 12 m de fond). La date de mise en ligne se saisit dans le Webin Portal (Register Study).</t>
  </si>
  <si>
    <t xml:space="preserve">Sources : date de prélèvement = 18 juin 2021 (confirmée par P.-P. Liebgott) ; protocole = manuscrit (Methods) ; chimie = Tableau 1 de l'article (onglet Chimie_Tableau1) ; coordonnées = Supplementary Methods S1 (Google Earth), converties en degrés décimaux ; MD5 calculés sur les FASTQ (MBWS : copie intacte de Korbous_RawData).</t>
  </si>
  <si>
    <t xml:space="preserve">Taxons ENA : 'metagenome' environnementaux (taxid entre parenthèses). Webin vérifie le couple nom/taxid à l'import.</t>
  </si>
  <si>
    <t xml:space="preserve">Termes d'environnement : libellés ENVO ; Webin propose la recherche des identifiants ENVO correspondants.</t>
  </si>
  <si>
    <t xml:space="preserve">Profondeur : mètres sous la surface du sédiment (sédiments) ; 0 pour l'eau prélevée à l'émergence de la source terrestre.</t>
  </si>
  <si>
    <t xml:space="preserve">SampleID</t>
  </si>
  <si>
    <t xml:space="preserve">Temperature_C</t>
  </si>
  <si>
    <t xml:space="preserve">pH</t>
  </si>
  <si>
    <t xml:space="preserve">Chloride_gL</t>
  </si>
  <si>
    <t xml:space="preserve">Sodium_gL</t>
  </si>
  <si>
    <t xml:space="preserve">Potassium_gL</t>
  </si>
  <si>
    <t xml:space="preserve">Magnesium_gL</t>
  </si>
  <si>
    <t xml:space="preserve">Calcium_gL</t>
  </si>
  <si>
    <t xml:space="preserve">Sulfate_gL</t>
  </si>
  <si>
    <t xml:space="preserve">Sulfide_mM</t>
  </si>
  <si>
    <t xml:space="preserve">MWC</t>
  </si>
  <si>
    <t xml:space="preserve">ND</t>
  </si>
  <si>
    <t xml:space="preserve">MSed</t>
  </si>
  <si>
    <t xml:space="preserve">TWS</t>
  </si>
  <si>
    <t xml:space="preserve">MAWS</t>
  </si>
  <si>
    <t xml:space="preserve">MBWS</t>
  </si>
  <si>
    <t xml:space="preserve">MASed</t>
  </si>
  <si>
    <t xml:space="preserve">MA10</t>
  </si>
  <si>
    <t xml:space="preserve">MA40</t>
  </si>
  <si>
    <t xml:space="preserve">MBSed</t>
  </si>
  <si>
    <t xml:space="preserve">MB10</t>
  </si>
  <si>
    <t xml:space="preserve">MB40</t>
  </si>
  <si>
    <t xml:space="preserve">TSed1</t>
  </si>
  <si>
    <t xml:space="preserve">TSed2</t>
  </si>
  <si>
    <t xml:space="preserve">T10</t>
  </si>
  <si>
    <t xml:space="preserve">T40</t>
  </si>
  <si>
    <t xml:space="preserve">Source : Tableau 1 de l'article (g/L ; sulfure en mM ; ND = non détecté).</t>
  </si>
  <si>
    <t xml:space="preserve">study_alias</t>
  </si>
  <si>
    <t xml:space="preserve">Korbous_AinKanassira_16S</t>
  </si>
  <si>
    <t xml:space="preserve">study_title</t>
  </si>
  <si>
    <t xml:space="preserve">Chemical and microbial signatures of seawater input and potential subsurface connectivity across a coastal hydrothermal land–sea interface (Korbous, Tunisia)</t>
  </si>
  <si>
    <t xml:space="preserve">study_abstract</t>
  </si>
  <si>
    <t xml:space="preserve">The thermal waters of Korbous (Cap Bon, north-eastern Tunisia) are considered to be of meteoric (rain-derived) origin, heated during circulation in a reservoir at about 2 km depth. At Aïn Kanassira, these waters emerge from a spring on land, 60 m from the shoreline, and from two submarine venting zones 80–110 m from the spring. Given this proximity, we asked whether the terrestrial and submarine discharges host related microbial communities, and whether the terrestrial spring shows signs of seawater input. We analysed major ions and 16S rRNA gene amplicons in water and sediment samples from the spring, the two venting zones and a nearby marine reference site. Microbial communities differed strongly among waters, terrestrial sediments and submarine sediments, and their composition was associated mainly with dissolved sulfide and pH. However, the water emerging on land and the two submarine waters were dominated by the same few amplicon sequence variants (ASVs), mostly affiliated with Sulfurimonas. The spring water also carried two signatures of seawater: sodium, potassium and magnesium in near-seawater proportions relative to chloride, and lineages typical of marine plankton. These results are consistent with a shared flow path between the terrestrial and submarine discharges and point to a seawater contribution to a spring thought to be fed by meteoric water. Microbial community data can thus complement hydrochemistry in detecting seawater input into coastal geothermal aquifers.</t>
  </si>
  <si>
    <t xml:space="preserve">sample_alias</t>
  </si>
  <si>
    <t xml:space="preserve">tax_id</t>
  </si>
  <si>
    <t xml:space="preserve">scientific_name</t>
  </si>
  <si>
    <t xml:space="preserve">sample_title</t>
  </si>
  <si>
    <t xml:space="preserve">sample_description</t>
  </si>
  <si>
    <t xml:space="preserve">project name</t>
  </si>
  <si>
    <t xml:space="preserve">collection date</t>
  </si>
  <si>
    <t xml:space="preserve">geographic location (country and/or sea)</t>
  </si>
  <si>
    <t xml:space="preserve">geographic location (region and locality)</t>
  </si>
  <si>
    <t xml:space="preserve">geographic location (latitude)</t>
  </si>
  <si>
    <t xml:space="preserve">geographic location (longitude)</t>
  </si>
  <si>
    <t xml:space="preserve">depth</t>
  </si>
  <si>
    <t xml:space="preserve">elevation</t>
  </si>
  <si>
    <t xml:space="preserve">broad-scale environmental context</t>
  </si>
  <si>
    <t xml:space="preserve">local environmental context</t>
  </si>
  <si>
    <t xml:space="preserve">environmental medium</t>
  </si>
  <si>
    <t xml:space="preserve">temperature</t>
  </si>
  <si>
    <t xml:space="preserve">chloride</t>
  </si>
  <si>
    <t xml:space="preserve">sodium</t>
  </si>
  <si>
    <t xml:space="preserve">potassium</t>
  </si>
  <si>
    <t xml:space="preserve">magnesium</t>
  </si>
  <si>
    <t xml:space="preserve">calcium</t>
  </si>
  <si>
    <t xml:space="preserve">sulfate</t>
  </si>
  <si>
    <t xml:space="preserve">sulfide</t>
  </si>
  <si>
    <t xml:space="preserve">sample collection device</t>
  </si>
  <si>
    <t xml:space="preserve">amount or size of sample collected</t>
  </si>
  <si>
    <t xml:space="preserve">sample storage temperature</t>
  </si>
  <si>
    <t xml:space="preserve">sample storage duration</t>
  </si>
  <si>
    <t xml:space="preserve">#units</t>
  </si>
  <si>
    <t xml:space="preserve">DD</t>
  </si>
  <si>
    <t xml:space="preserve">m</t>
  </si>
  <si>
    <t xml:space="preserve">ºC</t>
  </si>
  <si>
    <t xml:space="preserve">mg/L</t>
  </si>
  <si>
    <t xml:space="preserve">parts/million</t>
  </si>
  <si>
    <t xml:space="preserve">µmol/L</t>
  </si>
  <si>
    <t xml:space="preserve">seawater metagenome</t>
  </si>
  <si>
    <t xml:space="preserve">MWC - Coastal seawater, marine reference site</t>
  </si>
  <si>
    <t xml:space="preserve">Coastal seawater, marine reference site, Ain Kanassira coastal hydrothermal system (Korbous, Cap Bon), 16S rRNA gene V4 amplicon sequencing. Low-DNA sample amplified by two-step PCR; library dominated by genera commonly reported as reagent contaminants. Used as the chemical seawater reference only and excluded from community analyses in the associated article.</t>
  </si>
  <si>
    <t xml:space="preserve">2021-06-18</t>
  </si>
  <si>
    <t xml:space="preserve">Tunisia</t>
  </si>
  <si>
    <t xml:space="preserve">Cap Bon, Korbous, Ain Kanassira</t>
  </si>
  <si>
    <t xml:space="preserve">0</t>
  </si>
  <si>
    <t xml:space="preserve">marine biome</t>
  </si>
  <si>
    <t xml:space="preserve">neritic zone</t>
  </si>
  <si>
    <t xml:space="preserve">sea water</t>
  </si>
  <si>
    <t xml:space="preserve">not detected</t>
  </si>
  <si>
    <t xml:space="preserve">Sterile bottle, 4 m below the surface and about 6 m above the seafloor</t>
  </si>
  <si>
    <t xml:space="preserve">1.5 L filtered on 0.22 um</t>
  </si>
  <si>
    <t xml:space="preserve">less than 24 h</t>
  </si>
  <si>
    <t xml:space="preserve">hot springs metagenome</t>
  </si>
  <si>
    <t xml:space="preserve">TWS - Thermal water at the emergence point of the terrestrial spring (cave)</t>
  </si>
  <si>
    <t xml:space="preserve">Thermal water at the emergence point of the terrestrial spring (cave), Ain Kanassira coastal hydrothermal system (Korbous, Cap Bon), 16S rRNA gene V4 amplicon sequencing</t>
  </si>
  <si>
    <t xml:space="preserve">5</t>
  </si>
  <si>
    <t xml:space="preserve">terrestrial biome</t>
  </si>
  <si>
    <t xml:space="preserve">hot spring</t>
  </si>
  <si>
    <t xml:space="preserve">hydrothermal fluid</t>
  </si>
  <si>
    <t xml:space="preserve">Sterile bottle at the emergence point inside the cave</t>
  </si>
  <si>
    <t xml:space="preserve">hydrothermal vent metagenome</t>
  </si>
  <si>
    <t xml:space="preserve">MAWS - Hydrothermal fluid discharged at submarine venting zone A</t>
  </si>
  <si>
    <t xml:space="preserve">Hydrothermal fluid discharged at submarine venting zone A, Ain Kanassira coastal hydrothermal system (Korbous, Cap Bon), 16S rRNA gene V4 amplicon sequencing</t>
  </si>
  <si>
    <t xml:space="preserve">hydrothermal vent</t>
  </si>
  <si>
    <t xml:space="preserve">Autoclaved 250 mL bottles pre-filled with N2, opened by scuba divers 10 cm above the discharge point</t>
  </si>
  <si>
    <t xml:space="preserve">MBWS - Hydrothermal fluid discharged at submarine venting zone B</t>
  </si>
  <si>
    <t xml:space="preserve">Hydrothermal fluid discharged at submarine venting zone B, Ain Kanassira coastal hydrothermal system (Korbous, Cap Bon), 16S rRNA gene V4 amplicon sequencing</t>
  </si>
  <si>
    <t xml:space="preserve">marine sediment metagenome</t>
  </si>
  <si>
    <t xml:space="preserve">MSed - Surface sediment (0-5 cm), marine reference site</t>
  </si>
  <si>
    <t xml:space="preserve">Surface sediment (0-5 cm), marine reference site, Ain Kanassira coastal hydrothermal system (Korbous, Cap Bon), 16S rRNA gene V4 amplicon sequencing (pore water chemistry)</t>
  </si>
  <si>
    <t xml:space="preserve">0-0.05</t>
  </si>
  <si>
    <t xml:space="preserve">marine sediment</t>
  </si>
  <si>
    <t xml:space="preserve">Sterile 50 mL tube pushed into freshly exposed sediment</t>
  </si>
  <si>
    <t xml:space="preserve">three subsamples pooled after DNA extraction</t>
  </si>
  <si>
    <t xml:space="preserve">MASed - Submarine venting zone A, surface sediment (0-5 cm)</t>
  </si>
  <si>
    <t xml:space="preserve">Submarine venting zone A, surface sediment (0-5 cm), Ain Kanassira coastal hydrothermal system (Korbous, Cap Bon), 16S rRNA gene V4 amplicon sequencing (pore water chemistry)</t>
  </si>
  <si>
    <t xml:space="preserve">MA10 - Submarine venting zone A, sediment at about 10 cm</t>
  </si>
  <si>
    <t xml:space="preserve">Submarine venting zone A, sediment at about 10 cm, Ain Kanassira coastal hydrothermal system (Korbous, Cap Bon), 16S rRNA gene V4 amplicon sequencing (pore water chemistry)</t>
  </si>
  <si>
    <t xml:space="preserve">0.1</t>
  </si>
  <si>
    <t xml:space="preserve">MA40 - Submarine venting zone A, sediment at about 40 cm</t>
  </si>
  <si>
    <t xml:space="preserve">Submarine venting zone A, sediment at about 40 cm, Ain Kanassira coastal hydrothermal system (Korbous, Cap Bon), 16S rRNA gene V4 amplicon sequencing (pore water chemistry)</t>
  </si>
  <si>
    <t xml:space="preserve">0.4</t>
  </si>
  <si>
    <t xml:space="preserve">MBSed - Submarine venting zone B, surface sediment (0-5 cm)</t>
  </si>
  <si>
    <t xml:space="preserve">Submarine venting zone B, surface sediment (0-5 cm), Ain Kanassira coastal hydrothermal system (Korbous, Cap Bon), 16S rRNA gene V4 amplicon sequencing (pore water chemistry)</t>
  </si>
  <si>
    <t xml:space="preserve">MB10 - Submarine venting zone B, sediment at about 10 cm</t>
  </si>
  <si>
    <t xml:space="preserve">Submarine venting zone B, sediment at about 10 cm, Ain Kanassira coastal hydrothermal system (Korbous, Cap Bon), 16S rRNA gene V4 amplicon sequencing (pore water chemistry)</t>
  </si>
  <si>
    <t xml:space="preserve">MB40 - Submarine venting zone B, sediment at about 40 cm</t>
  </si>
  <si>
    <t xml:space="preserve">Submarine venting zone B, sediment at about 40 cm, Ain Kanassira coastal hydrothermal system (Korbous, Cap Bon), 16S rRNA gene V4 amplicon sequencing (pore water chemistry)</t>
  </si>
  <si>
    <t xml:space="preserve">sediment metagenome</t>
  </si>
  <si>
    <t xml:space="preserve">TSed1 - Terrestrial thermal spring, surface sediment (0-5 cm) at the spring outflow</t>
  </si>
  <si>
    <t xml:space="preserve">Terrestrial thermal spring, surface sediment (0-5 cm) at the spring outflow, Ain Kanassira coastal hydrothermal system (Korbous, Cap Bon), 16S rRNA gene V4 amplicon sequencing (pore water chemistry)</t>
  </si>
  <si>
    <t xml:space="preserve">sediment</t>
  </si>
  <si>
    <t xml:space="preserve">TSed2 - Terrestrial thermal spring, surface sediment (0-5 cm) of the spring-fed basin, 5 m downstream</t>
  </si>
  <si>
    <t xml:space="preserve">Terrestrial thermal spring, surface sediment (0-5 cm) of the spring-fed basin, 5 m downstream, Ain Kanassira coastal hydrothermal system (Korbous, Cap Bon), 16S rRNA gene V4 amplicon sequencing (pore water chemistry)</t>
  </si>
  <si>
    <t xml:space="preserve">T10 - Terrestrial thermal spring, sediment at about 10 cm</t>
  </si>
  <si>
    <t xml:space="preserve">Terrestrial thermal spring, sediment at about 10 cm, Ain Kanassira coastal hydrothermal system (Korbous, Cap Bon), 16S rRNA gene V4 amplicon sequencing (pore water chemistry)</t>
  </si>
  <si>
    <t xml:space="preserve">T40 - Terrestrial thermal spring, sediment at about 40 cm</t>
  </si>
  <si>
    <t xml:space="preserve">Terrestrial thermal spring, sediment at about 40 cm, Ain Kanassira coastal hydrothermal system (Korbous, Cap Bon), 16S rRNA gene V4 amplicon sequencing (pore water chemistry)</t>
  </si>
  <si>
    <t xml:space="preserve">instrument_model</t>
  </si>
  <si>
    <t xml:space="preserve">library_name</t>
  </si>
  <si>
    <t xml:space="preserve">library_source</t>
  </si>
  <si>
    <t xml:space="preserve">library_selection</t>
  </si>
  <si>
    <t xml:space="preserve">library_strategy</t>
  </si>
  <si>
    <t xml:space="preserve">library_layout</t>
  </si>
  <si>
    <t xml:space="preserve">insert_size</t>
  </si>
  <si>
    <t xml:space="preserve">library_construction_protocol</t>
  </si>
  <si>
    <t xml:space="preserve">forward_file_name</t>
  </si>
  <si>
    <t xml:space="preserve">forward_file_md5</t>
  </si>
  <si>
    <t xml:space="preserve">reverse_file_name</t>
  </si>
  <si>
    <t xml:space="preserve">reverse_file_md5</t>
  </si>
  <si>
    <t xml:space="preserve">Illumina MiSeq</t>
  </si>
  <si>
    <t xml:space="preserve">MWC_16S_V4</t>
  </si>
  <si>
    <t xml:space="preserve">METAGENOMIC</t>
  </si>
  <si>
    <t xml:space="preserve">PCR</t>
  </si>
  <si>
    <t xml:space="preserve">AMPLICON</t>
  </si>
  <si>
    <t xml:space="preserve">PAIRED</t>
  </si>
  <si>
    <t xml:space="preserve">16S rRNA gene V4, primers 515F-Y (Parada et al. 2016) and 806R-B (Apprill et al. 2015), PrimeSTAR GXL, two-step PCR (no product in 25 cycles; 5 cycles, then 1 uL transferred into a fresh mix for 20 cycles); Illumina MiSeq 2 x 250 bp, GeT-PlaGe (Toulouse)</t>
  </si>
  <si>
    <t xml:space="preserve">MWC_GGTCAC-JM4Y5_L001_R1.fastq.gz</t>
  </si>
  <si>
    <t xml:space="preserve">6db0beafb04437c8211e52da1df2a496</t>
  </si>
  <si>
    <t xml:space="preserve">MWC_GGTCAC-JM4Y5_L001_R2.fastq.gz</t>
  </si>
  <si>
    <t xml:space="preserve">241493fbc3441e76605d39bb0ed43f67</t>
  </si>
  <si>
    <t xml:space="preserve">MSed_16S_V4</t>
  </si>
  <si>
    <t xml:space="preserve">16S rRNA gene V4, primers 515F-Y (Parada et al. 2016) and 806R-B (Apprill et al. 2015), PrimeSTAR GXL, 25 cycles; Illumina MiSeq 2 x 250 bp, GeT-PlaGe (Toulouse)</t>
  </si>
  <si>
    <t xml:space="preserve">MSed_ACCCCC-JM4Y5_L001_R1.fastq.gz</t>
  </si>
  <si>
    <t xml:space="preserve">430f8cd4f0220f2069b344274146b085</t>
  </si>
  <si>
    <t xml:space="preserve">MSed_ACCCCC-JM4Y5_L001_R2.fastq.gz</t>
  </si>
  <si>
    <t xml:space="preserve">03a1c0ba1bab856b9c6426b31f63b11b</t>
  </si>
  <si>
    <t xml:space="preserve">TWS_16S_V4</t>
  </si>
  <si>
    <t xml:space="preserve">TWS_CGTCGC-JM4Y5_L001_R1.fastq.gz</t>
  </si>
  <si>
    <t xml:space="preserve">ee12044b2314229c05ccb54fdfa2956f</t>
  </si>
  <si>
    <t xml:space="preserve">TWS_CGTCGC-JM4Y5_L001_R2.fastq.gz</t>
  </si>
  <si>
    <t xml:space="preserve">51ed2e96d930d88497831e5736e5d100</t>
  </si>
  <si>
    <t xml:space="preserve">MAWS_16S_V4</t>
  </si>
  <si>
    <t xml:space="preserve">MAWS_GGACTT-JM4Y5_L001_R1.fastq.gz</t>
  </si>
  <si>
    <t xml:space="preserve">8688c56151671c899055d847aa14a1cd</t>
  </si>
  <si>
    <t xml:space="preserve">MAWS_GGACTT-JM4Y5_L001_R2.fastq.gz</t>
  </si>
  <si>
    <t xml:space="preserve">c167125493eb58af2538d63271e6597f</t>
  </si>
  <si>
    <t xml:space="preserve">MBWS_16S_V4</t>
  </si>
  <si>
    <t xml:space="preserve">MBWS_ACTTTT-JM4Y5_L001_R1.fastq.gz</t>
  </si>
  <si>
    <t xml:space="preserve">126bc01a8312b5736cd43ccd0dde6c92</t>
  </si>
  <si>
    <t xml:space="preserve">MBWS_ACTTTT-JM4Y5_L001_R2.fastq.gz</t>
  </si>
  <si>
    <t xml:space="preserve">1982c74057d4fd12faa8dc6a6fdd96d6</t>
  </si>
  <si>
    <t xml:space="preserve">MASed_16S_V4</t>
  </si>
  <si>
    <t xml:space="preserve">MASed_GGCCAA-JM4Y5_L001_R1.fastq.gz</t>
  </si>
  <si>
    <t xml:space="preserve">8f577696f3c2f985b6bbdd04fc0f41b3</t>
  </si>
  <si>
    <t xml:space="preserve">MASed_GGCCAA-JM4Y5_L001_R2.fastq.gz</t>
  </si>
  <si>
    <t xml:space="preserve">920a3e2758592c371c52e7eccf79a975</t>
  </si>
  <si>
    <t xml:space="preserve">MA10_16S_V4</t>
  </si>
  <si>
    <t xml:space="preserve">MA10_ATGTCA-JM4Y5_L001_R1.fastq.gz</t>
  </si>
  <si>
    <t xml:space="preserve">034b7ebc0ef055095c1dbc8699cb09a4</t>
  </si>
  <si>
    <t xml:space="preserve">MA10_ATGTCA-JM4Y5_L001_R2.fastq.gz</t>
  </si>
  <si>
    <t xml:space="preserve">3723779ff16129c01cd9505954531b07</t>
  </si>
  <si>
    <t xml:space="preserve">MA40_16S_V4</t>
  </si>
  <si>
    <t xml:space="preserve">MA40_TGTGCC-JM4Y5_L001_R1.fastq.gz</t>
  </si>
  <si>
    <t xml:space="preserve">0a2bff3c409526eca416969e31001a2e</t>
  </si>
  <si>
    <t xml:space="preserve">MA40_TGTGCC-JM4Y5_L001_R2.fastq.gz</t>
  </si>
  <si>
    <t xml:space="preserve">87ab1098cce037038b2a640197890717</t>
  </si>
  <si>
    <t xml:space="preserve">MBSed_16S_V4</t>
  </si>
  <si>
    <t xml:space="preserve">MBSed_GACAGT-JM4Y5_L001_R1.fastq.gz</t>
  </si>
  <si>
    <t xml:space="preserve">1a3295b63c513e357de65c99f6952906</t>
  </si>
  <si>
    <t xml:space="preserve">MBSed_GACAGT-JM4Y5_L001_R2.fastq.gz</t>
  </si>
  <si>
    <t xml:space="preserve">3fe2bb0fc4a9fabcb77e7ffc542b476e</t>
  </si>
  <si>
    <t xml:space="preserve">MB10_16S_V4</t>
  </si>
  <si>
    <t xml:space="preserve">MB10_ACCAGG-JM4Y5_L001_R1.fastq.gz</t>
  </si>
  <si>
    <t xml:space="preserve">623fbce5fd481bd90c9ca97f10e9e612</t>
  </si>
  <si>
    <t xml:space="preserve">MB10_ACCAGG-JM4Y5_L001_R2.fastq.gz</t>
  </si>
  <si>
    <t xml:space="preserve">8e9f24dfd0c08ecb932ba209bb123579</t>
  </si>
  <si>
    <t xml:space="preserve">MB40_16S_V4</t>
  </si>
  <si>
    <t xml:space="preserve">MB40_GCAGCT-JM4Y5_L001_R1.fastq.gz</t>
  </si>
  <si>
    <t xml:space="preserve">b8d6e1b4cf930407421f88f6ec336802</t>
  </si>
  <si>
    <t xml:space="preserve">MB40_GCAGCT-JM4Y5_L001_R2.fastq.gz</t>
  </si>
  <si>
    <t xml:space="preserve">f2af960ee2af00c71512177e0e1a9bad</t>
  </si>
  <si>
    <t xml:space="preserve">TSed1_16S_V4</t>
  </si>
  <si>
    <t xml:space="preserve">TSed1_CCCGGC-JM4Y5_L001_R1.fastq.gz</t>
  </si>
  <si>
    <t xml:space="preserve">328ad369a9987bb405f319fbace34c99</t>
  </si>
  <si>
    <t xml:space="preserve">TSed1_CCCGGC-JM4Y5_L001_R2.fastq.gz</t>
  </si>
  <si>
    <t xml:space="preserve">9461dd09502194a7949767d77eb1ab9e</t>
  </si>
  <si>
    <t xml:space="preserve">TSed2_16S_V4</t>
  </si>
  <si>
    <t xml:space="preserve">TSed2_TCGAAC-JM4Y5_L001_R1.fastq.gz</t>
  </si>
  <si>
    <t xml:space="preserve">dde6e31369b811476cdc484ffd725ca7</t>
  </si>
  <si>
    <t xml:space="preserve">TSed2_TCGAAC-JM4Y5_L001_R2.fastq.gz</t>
  </si>
  <si>
    <t xml:space="preserve">0a276d21b0cd20e4e46f6fad601750bb</t>
  </si>
  <si>
    <t xml:space="preserve">T10_16S_V4</t>
  </si>
  <si>
    <t xml:space="preserve">T10_CTCGGT-JM4Y5_L001_R1.fastq.gz</t>
  </si>
  <si>
    <t xml:space="preserve">53a7ac7dba9ca382b4f38662aa230d4a</t>
  </si>
  <si>
    <t xml:space="preserve">T10_CTCGGT-JM4Y5_L001_R2.fastq.gz</t>
  </si>
  <si>
    <t xml:space="preserve">a0bd625ed544718ab65f525b64a256af</t>
  </si>
  <si>
    <t xml:space="preserve">T40_16S_V4</t>
  </si>
  <si>
    <t xml:space="preserve">T40_GTGTTT-JM4Y5_L001_R1.fastq.gz</t>
  </si>
  <si>
    <t xml:space="preserve">57f820f97eb01c6b4b268f2e655c3df1</t>
  </si>
  <si>
    <t xml:space="preserve">T40_GTGTTT-JM4Y5_L001_R2.fastq.gz</t>
  </si>
  <si>
    <t xml:space="preserve">e8d8e1aa994895777d0fbb7d0d8188e9</t>
  </si>
  <si>
    <t xml:space="preserve">Déposer les FASTQ du dossier Korbous_RawData (la copie de MBWS dans New_ARB/Rawdata est corrompue). MWC : la PCR en deux étapes (5 + 20 cycles) est indiquée dans son protocole de librairie.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</si>
</sst>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i val="true"/>
      <sz val="9"/>
      <name val="Arial"/>
      <family val="0"/>
      <charset val="1"/>
    </font>
  </fonts>
  <fills count="3">
    <fill>
      <patternFill patternType="none"/>
    </fill>
    <fill>
      <patternFill patternType="gray125"/>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50"/>
  </cols>
  <sheetData>
    <row r="1" customFormat="false" ht="14.25" hidden="false" customHeight="true" outlineLevel="0" collapsed="false">
      <c r="A1" s="2" t="s">
        <v>0</v>
      </c>
    </row>
    <row r="2" customFormat="false" ht="14.25" hidden="false" customHeight="true" outlineLevel="0" collapsed="false">
      <c r="A2" s="3"/>
    </row>
    <row r="3" customFormat="false" ht="14.25" hidden="false" customHeight="true" outlineLevel="0" collapsed="false">
      <c r="A3" s="2" t="s">
        <v>1</v>
      </c>
    </row>
    <row r="4" customFormat="false" ht="14.25" hidden="false" customHeight="true" outlineLevel="0" collapsed="false">
      <c r="A4" s="3" t="s">
        <v>2</v>
      </c>
    </row>
    <row r="5" customFormat="false" ht="14.25" hidden="false" customHeight="true" outlineLevel="0" collapsed="false">
      <c r="A5" s="3" t="s">
        <v>3</v>
      </c>
    </row>
    <row r="6" customFormat="false" ht="14.25" hidden="false" customHeight="true" outlineLevel="0" collapsed="false">
      <c r="A6" s="3" t="s">
        <v>4</v>
      </c>
    </row>
    <row r="7" customFormat="false" ht="14.25" hidden="false" customHeight="true" outlineLevel="0" collapsed="false">
      <c r="A7" s="3" t="s">
        <v>5</v>
      </c>
    </row>
    <row r="8" customFormat="false" ht="14.25" hidden="false" customHeight="true" outlineLevel="0" collapsed="false">
      <c r="A8" s="3" t="s">
        <v>6</v>
      </c>
    </row>
    <row r="9" customFormat="false" ht="14.25" hidden="false" customHeight="true" outlineLevel="0" collapsed="false">
      <c r="A9" s="3"/>
    </row>
    <row r="10" customFormat="false" ht="14.25" hidden="false" customHeight="true" outlineLevel="0" collapsed="false">
      <c r="A10" s="3" t="s">
        <v>7</v>
      </c>
    </row>
    <row r="11" customFormat="false" ht="14.25" hidden="false" customHeight="true" outlineLevel="0" collapsed="false">
      <c r="A11" s="3"/>
    </row>
    <row r="12" customFormat="false" ht="14.25" hidden="false" customHeight="true" outlineLevel="0" collapsed="false">
      <c r="A12" s="3" t="s">
        <v>8</v>
      </c>
    </row>
    <row r="13" customFormat="false" ht="14.25" hidden="false" customHeight="true" outlineLevel="0" collapsed="false">
      <c r="A13" s="3" t="s">
        <v>9</v>
      </c>
    </row>
    <row r="14" customFormat="false" ht="14.25" hidden="false" customHeight="true" outlineLevel="0" collapsed="false">
      <c r="A14" s="3" t="s">
        <v>10</v>
      </c>
    </row>
    <row r="15" customFormat="false" ht="14.25" hidden="false" customHeight="true" outlineLevel="0" collapsed="false">
      <c r="A15"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sheetData>
    <row r="1" customFormat="false" ht="14.25" hidden="false" customHeight="true" outlineLevel="0" collapsed="false">
      <c r="A1" s="4" t="s">
        <v>12</v>
      </c>
      <c r="B1" s="4" t="s">
        <v>13</v>
      </c>
      <c r="C1" s="4" t="s">
        <v>14</v>
      </c>
      <c r="D1" s="4" t="s">
        <v>15</v>
      </c>
      <c r="E1" s="4" t="s">
        <v>16</v>
      </c>
      <c r="F1" s="4" t="s">
        <v>17</v>
      </c>
      <c r="G1" s="4" t="s">
        <v>18</v>
      </c>
      <c r="H1" s="4" t="s">
        <v>19</v>
      </c>
      <c r="I1" s="4" t="s">
        <v>20</v>
      </c>
      <c r="J1" s="4" t="s">
        <v>21</v>
      </c>
    </row>
    <row r="2" customFormat="false" ht="14.25" hidden="false" customHeight="true" outlineLevel="0" collapsed="false">
      <c r="A2" s="3" t="s">
        <v>22</v>
      </c>
      <c r="B2" s="3" t="n">
        <v>17</v>
      </c>
      <c r="C2" s="3" t="n">
        <v>8.16</v>
      </c>
      <c r="D2" s="3" t="n">
        <v>21.95</v>
      </c>
      <c r="E2" s="3" t="n">
        <v>11.8</v>
      </c>
      <c r="F2" s="3" t="n">
        <v>0.34</v>
      </c>
      <c r="G2" s="3" t="n">
        <v>1.2</v>
      </c>
      <c r="H2" s="3" t="n">
        <v>0.46</v>
      </c>
      <c r="I2" s="3" t="n">
        <v>2.84</v>
      </c>
      <c r="J2" s="3" t="s">
        <v>23</v>
      </c>
    </row>
    <row r="3" customFormat="false" ht="14.25" hidden="false" customHeight="true" outlineLevel="0" collapsed="false">
      <c r="A3" s="3" t="s">
        <v>24</v>
      </c>
      <c r="B3" s="3" t="n">
        <v>19</v>
      </c>
      <c r="C3" s="3" t="n">
        <v>8.07</v>
      </c>
      <c r="D3" s="3" t="n">
        <v>17.83</v>
      </c>
      <c r="E3" s="3" t="n">
        <v>10.4</v>
      </c>
      <c r="F3" s="3" t="n">
        <v>0.33</v>
      </c>
      <c r="G3" s="3" t="n">
        <v>1.4</v>
      </c>
      <c r="H3" s="3" t="n">
        <v>0.43</v>
      </c>
      <c r="I3" s="3" t="n">
        <v>3.05</v>
      </c>
      <c r="J3" s="3" t="s">
        <v>23</v>
      </c>
    </row>
    <row r="4" customFormat="false" ht="14.25" hidden="false" customHeight="true" outlineLevel="0" collapsed="false">
      <c r="A4" s="3" t="s">
        <v>25</v>
      </c>
      <c r="B4" s="3" t="n">
        <v>38</v>
      </c>
      <c r="C4" s="3" t="n">
        <v>7.07</v>
      </c>
      <c r="D4" s="3" t="n">
        <v>7.14</v>
      </c>
      <c r="E4" s="3" t="n">
        <v>3.79</v>
      </c>
      <c r="F4" s="3" t="n">
        <v>0.1</v>
      </c>
      <c r="G4" s="3" t="n">
        <v>0.38</v>
      </c>
      <c r="H4" s="3" t="n">
        <v>0.48</v>
      </c>
      <c r="I4" s="3" t="n">
        <v>1.04</v>
      </c>
      <c r="J4" s="3" t="n">
        <v>2.23</v>
      </c>
    </row>
    <row r="5" customFormat="false" ht="14.25" hidden="false" customHeight="true" outlineLevel="0" collapsed="false">
      <c r="A5" s="3" t="s">
        <v>26</v>
      </c>
      <c r="B5" s="3" t="n">
        <v>62</v>
      </c>
      <c r="C5" s="3" t="n">
        <v>7.27</v>
      </c>
      <c r="D5" s="3" t="n">
        <v>11.41</v>
      </c>
      <c r="E5" s="3" t="n">
        <v>6.7</v>
      </c>
      <c r="F5" s="3" t="n">
        <v>0.14</v>
      </c>
      <c r="G5" s="3" t="n">
        <v>0.53</v>
      </c>
      <c r="H5" s="3" t="n">
        <v>0.33</v>
      </c>
      <c r="I5" s="3" t="n">
        <v>1.11</v>
      </c>
      <c r="J5" s="3" t="n">
        <v>1.63</v>
      </c>
    </row>
    <row r="6" customFormat="false" ht="14.25" hidden="false" customHeight="true" outlineLevel="0" collapsed="false">
      <c r="A6" s="3" t="s">
        <v>27</v>
      </c>
      <c r="B6" s="3" t="n">
        <v>39</v>
      </c>
      <c r="C6" s="3" t="n">
        <v>7.12</v>
      </c>
      <c r="D6" s="3" t="n">
        <v>9.85</v>
      </c>
      <c r="E6" s="3" t="n">
        <v>5.41</v>
      </c>
      <c r="F6" s="3" t="n">
        <v>0.17</v>
      </c>
      <c r="G6" s="3" t="n">
        <v>0.52</v>
      </c>
      <c r="H6" s="3" t="n">
        <v>0.38</v>
      </c>
      <c r="I6" s="3" t="n">
        <v>1.03</v>
      </c>
      <c r="J6" s="3" t="n">
        <v>1.86</v>
      </c>
    </row>
    <row r="7" customFormat="false" ht="14.25" hidden="false" customHeight="true" outlineLevel="0" collapsed="false">
      <c r="A7" s="3" t="s">
        <v>28</v>
      </c>
      <c r="B7" s="3" t="n">
        <v>65</v>
      </c>
      <c r="C7" s="3" t="n">
        <v>7.83</v>
      </c>
      <c r="D7" s="3" t="n">
        <v>17.11</v>
      </c>
      <c r="E7" s="3" t="n">
        <v>8.7</v>
      </c>
      <c r="F7" s="3" t="n">
        <v>0.32</v>
      </c>
      <c r="G7" s="3" t="n">
        <v>1.07</v>
      </c>
      <c r="H7" s="3" t="n">
        <v>0.35</v>
      </c>
      <c r="I7" s="3" t="n">
        <v>2.04</v>
      </c>
      <c r="J7" s="3" t="n">
        <v>0.68</v>
      </c>
    </row>
    <row r="8" customFormat="false" ht="14.25" hidden="false" customHeight="true" outlineLevel="0" collapsed="false">
      <c r="A8" s="3" t="s">
        <v>29</v>
      </c>
      <c r="B8" s="3" t="n">
        <v>69</v>
      </c>
      <c r="C8" s="3" t="n">
        <v>7.74</v>
      </c>
      <c r="D8" s="3" t="n">
        <v>14.16</v>
      </c>
      <c r="E8" s="3" t="n">
        <v>7.68</v>
      </c>
      <c r="F8" s="3" t="n">
        <v>0.22</v>
      </c>
      <c r="G8" s="3" t="n">
        <v>0.72</v>
      </c>
      <c r="H8" s="3" t="n">
        <v>0.45</v>
      </c>
      <c r="I8" s="3" t="n">
        <v>1.32</v>
      </c>
      <c r="J8" s="3" t="n">
        <v>0.98</v>
      </c>
    </row>
    <row r="9" customFormat="false" ht="14.25" hidden="false" customHeight="true" outlineLevel="0" collapsed="false">
      <c r="A9" s="3" t="s">
        <v>30</v>
      </c>
      <c r="B9" s="3" t="n">
        <v>76</v>
      </c>
      <c r="C9" s="3" t="n">
        <v>7.42</v>
      </c>
      <c r="D9" s="3" t="n">
        <v>19.21</v>
      </c>
      <c r="E9" s="3" t="n">
        <v>10.4</v>
      </c>
      <c r="F9" s="3" t="n">
        <v>0.29</v>
      </c>
      <c r="G9" s="3" t="n">
        <v>1.07</v>
      </c>
      <c r="H9" s="3" t="n">
        <v>0.39</v>
      </c>
      <c r="I9" s="3" t="n">
        <v>1.16</v>
      </c>
      <c r="J9" s="3" t="n">
        <v>1.84</v>
      </c>
    </row>
    <row r="10" customFormat="false" ht="14.25" hidden="false" customHeight="true" outlineLevel="0" collapsed="false">
      <c r="A10" s="3" t="s">
        <v>31</v>
      </c>
      <c r="B10" s="3" t="n">
        <v>43</v>
      </c>
      <c r="C10" s="3" t="n">
        <v>7.87</v>
      </c>
      <c r="D10" s="3" t="n">
        <v>18.2</v>
      </c>
      <c r="E10" s="3" t="n">
        <v>9.63</v>
      </c>
      <c r="F10" s="3" t="n">
        <v>0.28</v>
      </c>
      <c r="G10" s="3" t="n">
        <v>1.05</v>
      </c>
      <c r="H10" s="3" t="n">
        <v>0.37</v>
      </c>
      <c r="I10" s="3" t="n">
        <v>2.28</v>
      </c>
      <c r="J10" s="3" t="n">
        <v>0.43</v>
      </c>
    </row>
    <row r="11" customFormat="false" ht="14.25" hidden="false" customHeight="true" outlineLevel="0" collapsed="false">
      <c r="A11" s="3" t="s">
        <v>32</v>
      </c>
      <c r="B11" s="3" t="n">
        <v>46</v>
      </c>
      <c r="C11" s="3" t="n">
        <v>7.62</v>
      </c>
      <c r="D11" s="3" t="n">
        <v>16.1</v>
      </c>
      <c r="E11" s="3" t="n">
        <v>8.3</v>
      </c>
      <c r="F11" s="3" t="n">
        <v>0.3</v>
      </c>
      <c r="G11" s="3" t="n">
        <v>0.93</v>
      </c>
      <c r="H11" s="3" t="n">
        <v>0.41</v>
      </c>
      <c r="I11" s="3" t="n">
        <v>2.05</v>
      </c>
      <c r="J11" s="3" t="n">
        <v>1.75</v>
      </c>
    </row>
    <row r="12" customFormat="false" ht="14.25" hidden="false" customHeight="true" outlineLevel="0" collapsed="false">
      <c r="A12" s="3" t="s">
        <v>33</v>
      </c>
      <c r="B12" s="3" t="n">
        <v>51</v>
      </c>
      <c r="C12" s="3" t="n">
        <v>7.32</v>
      </c>
      <c r="D12" s="3" t="n">
        <v>19.03</v>
      </c>
      <c r="E12" s="3" t="n">
        <v>10.19</v>
      </c>
      <c r="F12" s="3" t="n">
        <v>0.3</v>
      </c>
      <c r="G12" s="3" t="n">
        <v>0.79</v>
      </c>
      <c r="H12" s="3" t="n">
        <v>0.38</v>
      </c>
      <c r="I12" s="3" t="n">
        <v>1.19</v>
      </c>
      <c r="J12" s="3" t="n">
        <v>1.89</v>
      </c>
    </row>
    <row r="13" customFormat="false" ht="14.25" hidden="false" customHeight="true" outlineLevel="0" collapsed="false">
      <c r="A13" s="3" t="s">
        <v>34</v>
      </c>
      <c r="B13" s="3" t="n">
        <v>41</v>
      </c>
      <c r="C13" s="3" t="n">
        <v>7.73</v>
      </c>
      <c r="D13" s="3" t="n">
        <v>8.96</v>
      </c>
      <c r="E13" s="3" t="n">
        <v>4.83</v>
      </c>
      <c r="F13" s="3" t="n">
        <v>0.1</v>
      </c>
      <c r="G13" s="3" t="n">
        <v>0.38</v>
      </c>
      <c r="H13" s="3" t="n">
        <v>0.43</v>
      </c>
      <c r="I13" s="3" t="n">
        <v>1.85</v>
      </c>
      <c r="J13" s="3" t="n">
        <v>2.83</v>
      </c>
    </row>
    <row r="14" customFormat="false" ht="14.25" hidden="false" customHeight="true" outlineLevel="0" collapsed="false">
      <c r="A14" s="3" t="s">
        <v>35</v>
      </c>
      <c r="B14" s="3" t="n">
        <v>34</v>
      </c>
      <c r="C14" s="3" t="n">
        <v>7.68</v>
      </c>
      <c r="D14" s="3" t="n">
        <v>8.34</v>
      </c>
      <c r="E14" s="3" t="n">
        <v>4.38</v>
      </c>
      <c r="F14" s="3" t="n">
        <v>0.27</v>
      </c>
      <c r="G14" s="3" t="n">
        <v>0.4</v>
      </c>
      <c r="H14" s="3" t="n">
        <v>0.41</v>
      </c>
      <c r="I14" s="3" t="n">
        <v>1.31</v>
      </c>
      <c r="J14" s="3" t="n">
        <v>3.09</v>
      </c>
    </row>
    <row r="15" customFormat="false" ht="14.25" hidden="false" customHeight="true" outlineLevel="0" collapsed="false">
      <c r="A15" s="3" t="s">
        <v>36</v>
      </c>
      <c r="B15" s="3" t="n">
        <v>43</v>
      </c>
      <c r="C15" s="3" t="n">
        <v>7.85</v>
      </c>
      <c r="D15" s="3" t="n">
        <v>8.51</v>
      </c>
      <c r="E15" s="3" t="n">
        <v>4.78</v>
      </c>
      <c r="F15" s="3" t="n">
        <v>0.26</v>
      </c>
      <c r="G15" s="3" t="n">
        <v>0.33</v>
      </c>
      <c r="H15" s="3" t="n">
        <v>0.48</v>
      </c>
      <c r="I15" s="3" t="n">
        <v>1.11</v>
      </c>
      <c r="J15" s="3" t="n">
        <v>4.09</v>
      </c>
    </row>
    <row r="16" customFormat="false" ht="14.25" hidden="false" customHeight="true" outlineLevel="0" collapsed="false">
      <c r="A16" s="3" t="s">
        <v>37</v>
      </c>
      <c r="B16" s="3" t="n">
        <v>43</v>
      </c>
      <c r="C16" s="3" t="n">
        <v>7.65</v>
      </c>
      <c r="D16" s="3" t="n">
        <v>9.52</v>
      </c>
      <c r="E16" s="3" t="n">
        <v>5.12</v>
      </c>
      <c r="F16" s="3" t="n">
        <v>0.29</v>
      </c>
      <c r="G16" s="3" t="n">
        <v>0.22</v>
      </c>
      <c r="H16" s="3" t="n">
        <v>0.43</v>
      </c>
      <c r="I16" s="3" t="n">
        <v>1.15</v>
      </c>
      <c r="J16" s="3" t="n">
        <v>4.87</v>
      </c>
    </row>
    <row r="18" customFormat="false" ht="14.25" hidden="false" customHeight="true" outlineLevel="0" collapsed="false">
      <c r="A18"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120"/>
  </cols>
  <sheetData>
    <row r="1" customFormat="false" ht="14.25" hidden="false" customHeight="true" outlineLevel="0" collapsed="false">
      <c r="A1" s="2" t="s">
        <v>39</v>
      </c>
      <c r="B1" s="5" t="s">
        <v>40</v>
      </c>
    </row>
    <row r="2" customFormat="false" ht="24.75" hidden="false" customHeight="true" outlineLevel="0" collapsed="false">
      <c r="A2" s="2" t="s">
        <v>41</v>
      </c>
      <c r="B2" s="5" t="s">
        <v>42</v>
      </c>
    </row>
    <row r="3" customFormat="false" ht="137.25" hidden="false" customHeight="true" outlineLevel="0" collapsed="false">
      <c r="A3" s="2" t="s">
        <v>43</v>
      </c>
      <c r="B3" s="5"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7"/>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7" min="7" style="1" width="17"/>
    <col collapsed="false" customWidth="true" hidden="false" outlineLevel="0" max="8" min="8" style="1" width="42"/>
    <col collapsed="false" customWidth="true" hidden="false" outlineLevel="0" max="9" min="9" style="1" width="43"/>
    <col collapsed="false" customWidth="true" hidden="false" outlineLevel="0" max="10" min="10" style="1" width="32"/>
    <col collapsed="false" customWidth="true" hidden="false" outlineLevel="0" max="11" min="11" style="1" width="33"/>
    <col collapsed="false" customWidth="true" hidden="false" outlineLevel="0" max="13" min="12" style="1" width="12"/>
    <col collapsed="false" customWidth="true" hidden="false" outlineLevel="0" max="14" min="14" style="1" width="35"/>
    <col collapsed="false" customWidth="true" hidden="false" outlineLevel="0" max="15" min="15" style="1" width="29"/>
    <col collapsed="false" customWidth="true" hidden="false" outlineLevel="0" max="16" min="16" style="1" width="22"/>
    <col collapsed="false" customWidth="true" hidden="false" outlineLevel="0" max="17" min="17" style="1" width="13"/>
    <col collapsed="false" customWidth="true" hidden="false" outlineLevel="0" max="25" min="18" style="1" width="12"/>
    <col collapsed="false" customWidth="true" hidden="false" outlineLevel="0" max="26" min="26" style="1" width="26"/>
    <col collapsed="false" customWidth="true" hidden="false" outlineLevel="0" max="27" min="27" style="1" width="36"/>
    <col collapsed="false" customWidth="true" hidden="false" outlineLevel="0" max="28" min="28" style="1" width="28"/>
    <col collapsed="false" customWidth="true" hidden="false" outlineLevel="0" max="29" min="29" style="1" width="25"/>
  </cols>
  <sheetData>
    <row r="1" customFormat="false" ht="14.25" hidden="false" customHeight="true" outlineLevel="0" collapsed="false">
      <c r="A1" s="4" t="s">
        <v>45</v>
      </c>
      <c r="B1" s="4" t="s">
        <v>46</v>
      </c>
      <c r="C1" s="4" t="s">
        <v>47</v>
      </c>
      <c r="D1" s="4" t="s">
        <v>48</v>
      </c>
      <c r="E1" s="4" t="s">
        <v>49</v>
      </c>
      <c r="F1" s="4" t="s">
        <v>50</v>
      </c>
      <c r="G1" s="4" t="s">
        <v>51</v>
      </c>
      <c r="H1" s="4" t="s">
        <v>52</v>
      </c>
      <c r="I1" s="4" t="s">
        <v>53</v>
      </c>
      <c r="J1" s="4" t="s">
        <v>54</v>
      </c>
      <c r="K1" s="4" t="s">
        <v>55</v>
      </c>
      <c r="L1" s="4" t="s">
        <v>56</v>
      </c>
      <c r="M1" s="4" t="s">
        <v>57</v>
      </c>
      <c r="N1" s="4" t="s">
        <v>58</v>
      </c>
      <c r="O1" s="4" t="s">
        <v>59</v>
      </c>
      <c r="P1" s="4" t="s">
        <v>60</v>
      </c>
      <c r="Q1" s="4" t="s">
        <v>61</v>
      </c>
      <c r="R1" s="4" t="s">
        <v>14</v>
      </c>
      <c r="S1" s="4" t="s">
        <v>62</v>
      </c>
      <c r="T1" s="4" t="s">
        <v>63</v>
      </c>
      <c r="U1" s="4" t="s">
        <v>64</v>
      </c>
      <c r="V1" s="4" t="s">
        <v>65</v>
      </c>
      <c r="W1" s="4" t="s">
        <v>66</v>
      </c>
      <c r="X1" s="4" t="s">
        <v>67</v>
      </c>
      <c r="Y1" s="4" t="s">
        <v>68</v>
      </c>
      <c r="Z1" s="4" t="s">
        <v>69</v>
      </c>
      <c r="AA1" s="4" t="s">
        <v>70</v>
      </c>
      <c r="AB1" s="4" t="s">
        <v>71</v>
      </c>
      <c r="AC1" s="4" t="s">
        <v>72</v>
      </c>
    </row>
    <row r="2" customFormat="false" ht="14.25" hidden="false" customHeight="true" outlineLevel="0" collapsed="false">
      <c r="A2" s="6" t="s">
        <v>73</v>
      </c>
      <c r="B2" s="6"/>
      <c r="C2" s="6"/>
      <c r="D2" s="6"/>
      <c r="E2" s="6"/>
      <c r="F2" s="6"/>
      <c r="G2" s="6"/>
      <c r="H2" s="6"/>
      <c r="I2" s="6"/>
      <c r="J2" s="6" t="s">
        <v>74</v>
      </c>
      <c r="K2" s="6" t="s">
        <v>74</v>
      </c>
      <c r="L2" s="6" t="s">
        <v>75</v>
      </c>
      <c r="M2" s="6" t="s">
        <v>75</v>
      </c>
      <c r="N2" s="6"/>
      <c r="O2" s="6"/>
      <c r="P2" s="6"/>
      <c r="Q2" s="6" t="s">
        <v>76</v>
      </c>
      <c r="R2" s="6"/>
      <c r="S2" s="6" t="s">
        <v>77</v>
      </c>
      <c r="T2" s="6" t="s">
        <v>78</v>
      </c>
      <c r="U2" s="6" t="s">
        <v>78</v>
      </c>
      <c r="V2" s="6" t="s">
        <v>77</v>
      </c>
      <c r="W2" s="6" t="s">
        <v>77</v>
      </c>
      <c r="X2" s="6" t="s">
        <v>77</v>
      </c>
      <c r="Y2" s="6" t="s">
        <v>79</v>
      </c>
      <c r="Z2" s="6"/>
      <c r="AA2" s="6"/>
      <c r="AB2" s="6" t="s">
        <v>76</v>
      </c>
      <c r="AC2" s="6"/>
    </row>
    <row r="3" customFormat="false" ht="14.25" hidden="false" customHeight="true" outlineLevel="0" collapsed="false">
      <c r="A3" s="3" t="s">
        <v>22</v>
      </c>
      <c r="B3" s="3" t="n">
        <v>1561972</v>
      </c>
      <c r="C3" s="3" t="s">
        <v>80</v>
      </c>
      <c r="D3" s="3" t="s">
        <v>81</v>
      </c>
      <c r="E3" s="3" t="s">
        <v>82</v>
      </c>
      <c r="F3" s="3" t="s">
        <v>40</v>
      </c>
      <c r="G3" s="3" t="s">
        <v>83</v>
      </c>
      <c r="H3" s="3" t="s">
        <v>84</v>
      </c>
      <c r="I3" s="3" t="s">
        <v>85</v>
      </c>
      <c r="J3" s="3" t="n">
        <v>36.840633</v>
      </c>
      <c r="K3" s="3" t="n">
        <v>10.571492</v>
      </c>
      <c r="L3" s="3" t="n">
        <v>4</v>
      </c>
      <c r="M3" s="3" t="s">
        <v>86</v>
      </c>
      <c r="N3" s="3" t="s">
        <v>87</v>
      </c>
      <c r="O3" s="3" t="s">
        <v>88</v>
      </c>
      <c r="P3" s="3" t="s">
        <v>89</v>
      </c>
      <c r="Q3" s="3" t="n">
        <f aca="false">Chimie_Tableau1!B2</f>
        <v>17</v>
      </c>
      <c r="R3" s="3" t="n">
        <f aca="false">Chimie_Tableau1!C2</f>
        <v>8.16</v>
      </c>
      <c r="S3" s="3" t="n">
        <f aca="false">Chimie_Tableau1!D2*1000</f>
        <v>21950</v>
      </c>
      <c r="T3" s="3" t="n">
        <f aca="false">Chimie_Tableau1!E2*1000</f>
        <v>11800</v>
      </c>
      <c r="U3" s="3" t="n">
        <f aca="false">Chimie_Tableau1!F2*1000</f>
        <v>340</v>
      </c>
      <c r="V3" s="3" t="n">
        <f aca="false">Chimie_Tableau1!G2*1000</f>
        <v>1200</v>
      </c>
      <c r="W3" s="3" t="n">
        <f aca="false">Chimie_Tableau1!H2*1000</f>
        <v>460</v>
      </c>
      <c r="X3" s="3" t="n">
        <f aca="false">Chimie_Tableau1!I2*1000</f>
        <v>2840</v>
      </c>
      <c r="Y3" s="3" t="s">
        <v>90</v>
      </c>
      <c r="Z3" s="3" t="s">
        <v>91</v>
      </c>
      <c r="AA3" s="3" t="s">
        <v>92</v>
      </c>
      <c r="AB3" s="3" t="n">
        <v>4</v>
      </c>
      <c r="AC3" s="3" t="s">
        <v>93</v>
      </c>
    </row>
    <row r="4" customFormat="false" ht="14.25" hidden="false" customHeight="true" outlineLevel="0" collapsed="false">
      <c r="A4" s="3" t="s">
        <v>25</v>
      </c>
      <c r="B4" s="3" t="n">
        <v>433727</v>
      </c>
      <c r="C4" s="3" t="s">
        <v>94</v>
      </c>
      <c r="D4" s="3" t="s">
        <v>95</v>
      </c>
      <c r="E4" s="3" t="s">
        <v>96</v>
      </c>
      <c r="F4" s="3" t="s">
        <v>40</v>
      </c>
      <c r="G4" s="3" t="s">
        <v>83</v>
      </c>
      <c r="H4" s="3" t="s">
        <v>84</v>
      </c>
      <c r="I4" s="3" t="s">
        <v>85</v>
      </c>
      <c r="J4" s="3" t="n">
        <v>36.840483</v>
      </c>
      <c r="K4" s="3" t="n">
        <v>10.572539</v>
      </c>
      <c r="L4" s="3" t="s">
        <v>86</v>
      </c>
      <c r="M4" s="3" t="s">
        <v>97</v>
      </c>
      <c r="N4" s="3" t="s">
        <v>98</v>
      </c>
      <c r="O4" s="3" t="s">
        <v>99</v>
      </c>
      <c r="P4" s="3" t="s">
        <v>100</v>
      </c>
      <c r="Q4" s="3" t="n">
        <f aca="false">Chimie_Tableau1!B4</f>
        <v>38</v>
      </c>
      <c r="R4" s="3" t="n">
        <f aca="false">Chimie_Tableau1!C4</f>
        <v>7.07</v>
      </c>
      <c r="S4" s="3" t="n">
        <f aca="false">Chimie_Tableau1!D4*1000</f>
        <v>7140</v>
      </c>
      <c r="T4" s="3" t="n">
        <f aca="false">Chimie_Tableau1!E4*1000</f>
        <v>3790</v>
      </c>
      <c r="U4" s="3" t="n">
        <f aca="false">Chimie_Tableau1!F4*1000</f>
        <v>100</v>
      </c>
      <c r="V4" s="3" t="n">
        <f aca="false">Chimie_Tableau1!G4*1000</f>
        <v>380</v>
      </c>
      <c r="W4" s="3" t="n">
        <f aca="false">Chimie_Tableau1!H4*1000</f>
        <v>480</v>
      </c>
      <c r="X4" s="3" t="n">
        <f aca="false">Chimie_Tableau1!I4*1000</f>
        <v>1040</v>
      </c>
      <c r="Y4" s="3" t="n">
        <f aca="false">Chimie_Tableau1!J4*1000</f>
        <v>2230</v>
      </c>
      <c r="Z4" s="3" t="s">
        <v>101</v>
      </c>
      <c r="AA4" s="3" t="s">
        <v>92</v>
      </c>
      <c r="AB4" s="3" t="n">
        <v>4</v>
      </c>
      <c r="AC4" s="3" t="s">
        <v>93</v>
      </c>
    </row>
    <row r="5" customFormat="false" ht="14.25" hidden="false" customHeight="true" outlineLevel="0" collapsed="false">
      <c r="A5" s="3" t="s">
        <v>26</v>
      </c>
      <c r="B5" s="3" t="n">
        <v>652676</v>
      </c>
      <c r="C5" s="3" t="s">
        <v>102</v>
      </c>
      <c r="D5" s="3" t="s">
        <v>103</v>
      </c>
      <c r="E5" s="3" t="s">
        <v>104</v>
      </c>
      <c r="F5" s="3" t="s">
        <v>40</v>
      </c>
      <c r="G5" s="3" t="s">
        <v>83</v>
      </c>
      <c r="H5" s="3" t="s">
        <v>84</v>
      </c>
      <c r="I5" s="3" t="s">
        <v>85</v>
      </c>
      <c r="J5" s="3" t="n">
        <v>36.840611</v>
      </c>
      <c r="K5" s="3" t="n">
        <v>10.571669</v>
      </c>
      <c r="L5" s="3" t="n">
        <v>8</v>
      </c>
      <c r="M5" s="3" t="s">
        <v>86</v>
      </c>
      <c r="N5" s="3" t="s">
        <v>87</v>
      </c>
      <c r="O5" s="3" t="s">
        <v>105</v>
      </c>
      <c r="P5" s="3" t="s">
        <v>100</v>
      </c>
      <c r="Q5" s="3" t="n">
        <f aca="false">Chimie_Tableau1!B5</f>
        <v>62</v>
      </c>
      <c r="R5" s="3" t="n">
        <f aca="false">Chimie_Tableau1!C5</f>
        <v>7.27</v>
      </c>
      <c r="S5" s="3" t="n">
        <f aca="false">Chimie_Tableau1!D5*1000</f>
        <v>11410</v>
      </c>
      <c r="T5" s="3" t="n">
        <f aca="false">Chimie_Tableau1!E5*1000</f>
        <v>6700</v>
      </c>
      <c r="U5" s="3" t="n">
        <f aca="false">Chimie_Tableau1!F5*1000</f>
        <v>140</v>
      </c>
      <c r="V5" s="3" t="n">
        <f aca="false">Chimie_Tableau1!G5*1000</f>
        <v>530</v>
      </c>
      <c r="W5" s="3" t="n">
        <f aca="false">Chimie_Tableau1!H5*1000</f>
        <v>330</v>
      </c>
      <c r="X5" s="3" t="n">
        <f aca="false">Chimie_Tableau1!I5*1000</f>
        <v>1110</v>
      </c>
      <c r="Y5" s="3" t="n">
        <f aca="false">Chimie_Tableau1!J5*1000</f>
        <v>1630</v>
      </c>
      <c r="Z5" s="3" t="s">
        <v>106</v>
      </c>
      <c r="AA5" s="3" t="s">
        <v>92</v>
      </c>
      <c r="AB5" s="3" t="n">
        <v>4</v>
      </c>
      <c r="AC5" s="3" t="s">
        <v>93</v>
      </c>
    </row>
    <row r="6" customFormat="false" ht="14.25" hidden="false" customHeight="true" outlineLevel="0" collapsed="false">
      <c r="A6" s="3" t="s">
        <v>27</v>
      </c>
      <c r="B6" s="3" t="n">
        <v>652676</v>
      </c>
      <c r="C6" s="3" t="s">
        <v>102</v>
      </c>
      <c r="D6" s="3" t="s">
        <v>107</v>
      </c>
      <c r="E6" s="3" t="s">
        <v>108</v>
      </c>
      <c r="F6" s="3" t="s">
        <v>40</v>
      </c>
      <c r="G6" s="3" t="s">
        <v>83</v>
      </c>
      <c r="H6" s="3" t="s">
        <v>84</v>
      </c>
      <c r="I6" s="3" t="s">
        <v>85</v>
      </c>
      <c r="J6" s="3" t="n">
        <v>36.840678</v>
      </c>
      <c r="K6" s="3" t="n">
        <v>10.571339</v>
      </c>
      <c r="L6" s="3" t="n">
        <v>12</v>
      </c>
      <c r="M6" s="3" t="s">
        <v>86</v>
      </c>
      <c r="N6" s="3" t="s">
        <v>87</v>
      </c>
      <c r="O6" s="3" t="s">
        <v>105</v>
      </c>
      <c r="P6" s="3" t="s">
        <v>100</v>
      </c>
      <c r="Q6" s="3" t="n">
        <f aca="false">Chimie_Tableau1!B6</f>
        <v>39</v>
      </c>
      <c r="R6" s="3" t="n">
        <f aca="false">Chimie_Tableau1!C6</f>
        <v>7.12</v>
      </c>
      <c r="S6" s="3" t="n">
        <f aca="false">Chimie_Tableau1!D6*1000</f>
        <v>9850</v>
      </c>
      <c r="T6" s="3" t="n">
        <f aca="false">Chimie_Tableau1!E6*1000</f>
        <v>5410</v>
      </c>
      <c r="U6" s="3" t="n">
        <f aca="false">Chimie_Tableau1!F6*1000</f>
        <v>170</v>
      </c>
      <c r="V6" s="3" t="n">
        <f aca="false">Chimie_Tableau1!G6*1000</f>
        <v>520</v>
      </c>
      <c r="W6" s="3" t="n">
        <f aca="false">Chimie_Tableau1!H6*1000</f>
        <v>380</v>
      </c>
      <c r="X6" s="3" t="n">
        <f aca="false">Chimie_Tableau1!I6*1000</f>
        <v>1030</v>
      </c>
      <c r="Y6" s="3" t="n">
        <f aca="false">Chimie_Tableau1!J6*1000</f>
        <v>1860</v>
      </c>
      <c r="Z6" s="3" t="s">
        <v>106</v>
      </c>
      <c r="AA6" s="3" t="s">
        <v>92</v>
      </c>
      <c r="AB6" s="3" t="n">
        <v>4</v>
      </c>
      <c r="AC6" s="3"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7"/>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7" min="7" style="1" width="17"/>
    <col collapsed="false" customWidth="true" hidden="false" outlineLevel="0" max="8" min="8" style="1" width="42"/>
    <col collapsed="false" customWidth="true" hidden="false" outlineLevel="0" max="9" min="9" style="1" width="43"/>
    <col collapsed="false" customWidth="true" hidden="false" outlineLevel="0" max="10" min="10" style="1" width="32"/>
    <col collapsed="false" customWidth="true" hidden="false" outlineLevel="0" max="11" min="11" style="1" width="33"/>
    <col collapsed="false" customWidth="true" hidden="false" outlineLevel="0" max="13" min="12" style="1" width="12"/>
    <col collapsed="false" customWidth="true" hidden="false" outlineLevel="0" max="14" min="14" style="1" width="35"/>
    <col collapsed="false" customWidth="true" hidden="false" outlineLevel="0" max="15" min="15" style="1" width="29"/>
    <col collapsed="false" customWidth="true" hidden="false" outlineLevel="0" max="16" min="16" style="1" width="22"/>
    <col collapsed="false" customWidth="true" hidden="false" outlineLevel="0" max="17" min="17" style="1" width="13"/>
    <col collapsed="false" customWidth="true" hidden="false" outlineLevel="0" max="25" min="18" style="1" width="12"/>
    <col collapsed="false" customWidth="true" hidden="false" outlineLevel="0" max="26" min="26" style="1" width="26"/>
    <col collapsed="false" customWidth="true" hidden="false" outlineLevel="0" max="27" min="27" style="1" width="36"/>
    <col collapsed="false" customWidth="true" hidden="false" outlineLevel="0" max="28" min="28" style="1" width="28"/>
    <col collapsed="false" customWidth="true" hidden="false" outlineLevel="0" max="29" min="29" style="1" width="25"/>
  </cols>
  <sheetData>
    <row r="1" customFormat="false" ht="14.25" hidden="false" customHeight="true" outlineLevel="0" collapsed="false">
      <c r="A1" s="4" t="s">
        <v>45</v>
      </c>
      <c r="B1" s="4" t="s">
        <v>46</v>
      </c>
      <c r="C1" s="4" t="s">
        <v>47</v>
      </c>
      <c r="D1" s="4" t="s">
        <v>48</v>
      </c>
      <c r="E1" s="4" t="s">
        <v>49</v>
      </c>
      <c r="F1" s="4" t="s">
        <v>50</v>
      </c>
      <c r="G1" s="4" t="s">
        <v>51</v>
      </c>
      <c r="H1" s="4" t="s">
        <v>52</v>
      </c>
      <c r="I1" s="4" t="s">
        <v>53</v>
      </c>
      <c r="J1" s="4" t="s">
        <v>54</v>
      </c>
      <c r="K1" s="4" t="s">
        <v>55</v>
      </c>
      <c r="L1" s="4" t="s">
        <v>56</v>
      </c>
      <c r="M1" s="4" t="s">
        <v>57</v>
      </c>
      <c r="N1" s="4" t="s">
        <v>58</v>
      </c>
      <c r="O1" s="4" t="s">
        <v>59</v>
      </c>
      <c r="P1" s="4" t="s">
        <v>60</v>
      </c>
      <c r="Q1" s="4" t="s">
        <v>61</v>
      </c>
      <c r="R1" s="4" t="s">
        <v>14</v>
      </c>
      <c r="S1" s="4" t="s">
        <v>62</v>
      </c>
      <c r="T1" s="4" t="s">
        <v>63</v>
      </c>
      <c r="U1" s="4" t="s">
        <v>64</v>
      </c>
      <c r="V1" s="4" t="s">
        <v>65</v>
      </c>
      <c r="W1" s="4" t="s">
        <v>66</v>
      </c>
      <c r="X1" s="4" t="s">
        <v>67</v>
      </c>
      <c r="Y1" s="4" t="s">
        <v>68</v>
      </c>
      <c r="Z1" s="4" t="s">
        <v>69</v>
      </c>
      <c r="AA1" s="4" t="s">
        <v>70</v>
      </c>
      <c r="AB1" s="4" t="s">
        <v>71</v>
      </c>
      <c r="AC1" s="4" t="s">
        <v>72</v>
      </c>
    </row>
    <row r="2" customFormat="false" ht="14.25" hidden="false" customHeight="true" outlineLevel="0" collapsed="false">
      <c r="A2" s="6" t="s">
        <v>73</v>
      </c>
      <c r="B2" s="6"/>
      <c r="C2" s="6"/>
      <c r="D2" s="6"/>
      <c r="E2" s="6"/>
      <c r="F2" s="6"/>
      <c r="G2" s="6"/>
      <c r="H2" s="6"/>
      <c r="I2" s="6"/>
      <c r="J2" s="6" t="s">
        <v>74</v>
      </c>
      <c r="K2" s="6" t="s">
        <v>74</v>
      </c>
      <c r="L2" s="6" t="s">
        <v>75</v>
      </c>
      <c r="M2" s="6" t="s">
        <v>75</v>
      </c>
      <c r="N2" s="6"/>
      <c r="O2" s="6"/>
      <c r="P2" s="6"/>
      <c r="Q2" s="6" t="s">
        <v>76</v>
      </c>
      <c r="R2" s="6"/>
      <c r="S2" s="6" t="s">
        <v>77</v>
      </c>
      <c r="T2" s="6" t="s">
        <v>78</v>
      </c>
      <c r="U2" s="6" t="s">
        <v>78</v>
      </c>
      <c r="V2" s="6" t="s">
        <v>77</v>
      </c>
      <c r="W2" s="6" t="s">
        <v>77</v>
      </c>
      <c r="X2" s="6" t="s">
        <v>77</v>
      </c>
      <c r="Y2" s="6" t="s">
        <v>79</v>
      </c>
      <c r="Z2" s="6"/>
      <c r="AA2" s="6"/>
      <c r="AB2" s="6" t="s">
        <v>76</v>
      </c>
      <c r="AC2" s="6"/>
    </row>
    <row r="3" customFormat="false" ht="14.25" hidden="false" customHeight="true" outlineLevel="0" collapsed="false">
      <c r="A3" s="3" t="s">
        <v>24</v>
      </c>
      <c r="B3" s="3" t="n">
        <v>412755</v>
      </c>
      <c r="C3" s="3" t="s">
        <v>109</v>
      </c>
      <c r="D3" s="3" t="s">
        <v>110</v>
      </c>
      <c r="E3" s="3" t="s">
        <v>111</v>
      </c>
      <c r="F3" s="3" t="s">
        <v>40</v>
      </c>
      <c r="G3" s="3" t="s">
        <v>83</v>
      </c>
      <c r="H3" s="3" t="s">
        <v>84</v>
      </c>
      <c r="I3" s="3" t="s">
        <v>85</v>
      </c>
      <c r="J3" s="3" t="n">
        <v>36.840633</v>
      </c>
      <c r="K3" s="3" t="n">
        <v>10.571492</v>
      </c>
      <c r="L3" s="3" t="s">
        <v>112</v>
      </c>
      <c r="M3" s="3" t="s">
        <v>86</v>
      </c>
      <c r="N3" s="3" t="s">
        <v>87</v>
      </c>
      <c r="O3" s="3" t="s">
        <v>88</v>
      </c>
      <c r="P3" s="3" t="s">
        <v>113</v>
      </c>
      <c r="Q3" s="3" t="n">
        <f aca="false">Chimie_Tableau1!B3</f>
        <v>19</v>
      </c>
      <c r="R3" s="3" t="n">
        <f aca="false">Chimie_Tableau1!C3</f>
        <v>8.07</v>
      </c>
      <c r="S3" s="3" t="n">
        <f aca="false">Chimie_Tableau1!D3*1000</f>
        <v>17830</v>
      </c>
      <c r="T3" s="3" t="n">
        <f aca="false">Chimie_Tableau1!E3*1000</f>
        <v>10400</v>
      </c>
      <c r="U3" s="3" t="n">
        <f aca="false">Chimie_Tableau1!F3*1000</f>
        <v>330</v>
      </c>
      <c r="V3" s="3" t="n">
        <f aca="false">Chimie_Tableau1!G3*1000</f>
        <v>1400</v>
      </c>
      <c r="W3" s="3" t="n">
        <f aca="false">Chimie_Tableau1!H3*1000</f>
        <v>430</v>
      </c>
      <c r="X3" s="3" t="n">
        <f aca="false">Chimie_Tableau1!I3*1000</f>
        <v>3050</v>
      </c>
      <c r="Y3" s="3" t="s">
        <v>90</v>
      </c>
      <c r="Z3" s="3" t="s">
        <v>114</v>
      </c>
      <c r="AA3" s="3" t="s">
        <v>115</v>
      </c>
      <c r="AB3" s="3" t="n">
        <v>4</v>
      </c>
      <c r="AC3" s="3" t="s">
        <v>93</v>
      </c>
    </row>
    <row r="4" customFormat="false" ht="14.25" hidden="false" customHeight="true" outlineLevel="0" collapsed="false">
      <c r="A4" s="3" t="s">
        <v>28</v>
      </c>
      <c r="B4" s="3" t="n">
        <v>412755</v>
      </c>
      <c r="C4" s="3" t="s">
        <v>109</v>
      </c>
      <c r="D4" s="3" t="s">
        <v>116</v>
      </c>
      <c r="E4" s="3" t="s">
        <v>117</v>
      </c>
      <c r="F4" s="3" t="s">
        <v>40</v>
      </c>
      <c r="G4" s="3" t="s">
        <v>83</v>
      </c>
      <c r="H4" s="3" t="s">
        <v>84</v>
      </c>
      <c r="I4" s="3" t="s">
        <v>85</v>
      </c>
      <c r="J4" s="3" t="n">
        <v>36.840611</v>
      </c>
      <c r="K4" s="3" t="n">
        <v>10.571669</v>
      </c>
      <c r="L4" s="3" t="s">
        <v>112</v>
      </c>
      <c r="M4" s="3" t="s">
        <v>86</v>
      </c>
      <c r="N4" s="3" t="s">
        <v>87</v>
      </c>
      <c r="O4" s="3" t="s">
        <v>105</v>
      </c>
      <c r="P4" s="3" t="s">
        <v>113</v>
      </c>
      <c r="Q4" s="3" t="n">
        <f aca="false">Chimie_Tableau1!B7</f>
        <v>65</v>
      </c>
      <c r="R4" s="3" t="n">
        <f aca="false">Chimie_Tableau1!C7</f>
        <v>7.83</v>
      </c>
      <c r="S4" s="3" t="n">
        <f aca="false">Chimie_Tableau1!D7*1000</f>
        <v>17110</v>
      </c>
      <c r="T4" s="3" t="n">
        <f aca="false">Chimie_Tableau1!E7*1000</f>
        <v>8700</v>
      </c>
      <c r="U4" s="3" t="n">
        <f aca="false">Chimie_Tableau1!F7*1000</f>
        <v>320</v>
      </c>
      <c r="V4" s="3" t="n">
        <f aca="false">Chimie_Tableau1!G7*1000</f>
        <v>1070</v>
      </c>
      <c r="W4" s="3" t="n">
        <f aca="false">Chimie_Tableau1!H7*1000</f>
        <v>350</v>
      </c>
      <c r="X4" s="3" t="n">
        <f aca="false">Chimie_Tableau1!I7*1000</f>
        <v>2040</v>
      </c>
      <c r="Y4" s="3" t="n">
        <f aca="false">Chimie_Tableau1!J7*1000</f>
        <v>680</v>
      </c>
      <c r="Z4" s="3" t="s">
        <v>114</v>
      </c>
      <c r="AA4" s="3" t="s">
        <v>115</v>
      </c>
      <c r="AB4" s="3" t="n">
        <v>4</v>
      </c>
      <c r="AC4" s="3" t="s">
        <v>93</v>
      </c>
    </row>
    <row r="5" customFormat="false" ht="14.25" hidden="false" customHeight="true" outlineLevel="0" collapsed="false">
      <c r="A5" s="3" t="s">
        <v>29</v>
      </c>
      <c r="B5" s="3" t="n">
        <v>412755</v>
      </c>
      <c r="C5" s="3" t="s">
        <v>109</v>
      </c>
      <c r="D5" s="3" t="s">
        <v>118</v>
      </c>
      <c r="E5" s="3" t="s">
        <v>119</v>
      </c>
      <c r="F5" s="3" t="s">
        <v>40</v>
      </c>
      <c r="G5" s="3" t="s">
        <v>83</v>
      </c>
      <c r="H5" s="3" t="s">
        <v>84</v>
      </c>
      <c r="I5" s="3" t="s">
        <v>85</v>
      </c>
      <c r="J5" s="3" t="n">
        <v>36.840611</v>
      </c>
      <c r="K5" s="3" t="n">
        <v>10.571669</v>
      </c>
      <c r="L5" s="3" t="s">
        <v>120</v>
      </c>
      <c r="M5" s="3" t="s">
        <v>86</v>
      </c>
      <c r="N5" s="3" t="s">
        <v>87</v>
      </c>
      <c r="O5" s="3" t="s">
        <v>105</v>
      </c>
      <c r="P5" s="3" t="s">
        <v>113</v>
      </c>
      <c r="Q5" s="3" t="n">
        <f aca="false">Chimie_Tableau1!B8</f>
        <v>69</v>
      </c>
      <c r="R5" s="3" t="n">
        <f aca="false">Chimie_Tableau1!C8</f>
        <v>7.74</v>
      </c>
      <c r="S5" s="3" t="n">
        <f aca="false">Chimie_Tableau1!D8*1000</f>
        <v>14160</v>
      </c>
      <c r="T5" s="3" t="n">
        <f aca="false">Chimie_Tableau1!E8*1000</f>
        <v>7680</v>
      </c>
      <c r="U5" s="3" t="n">
        <f aca="false">Chimie_Tableau1!F8*1000</f>
        <v>220</v>
      </c>
      <c r="V5" s="3" t="n">
        <f aca="false">Chimie_Tableau1!G8*1000</f>
        <v>720</v>
      </c>
      <c r="W5" s="3" t="n">
        <f aca="false">Chimie_Tableau1!H8*1000</f>
        <v>450</v>
      </c>
      <c r="X5" s="3" t="n">
        <f aca="false">Chimie_Tableau1!I8*1000</f>
        <v>1320</v>
      </c>
      <c r="Y5" s="3" t="n">
        <f aca="false">Chimie_Tableau1!J8*1000</f>
        <v>980</v>
      </c>
      <c r="Z5" s="3" t="s">
        <v>114</v>
      </c>
      <c r="AA5" s="3" t="s">
        <v>115</v>
      </c>
      <c r="AB5" s="3" t="n">
        <v>4</v>
      </c>
      <c r="AC5" s="3" t="s">
        <v>93</v>
      </c>
    </row>
    <row r="6" customFormat="false" ht="14.25" hidden="false" customHeight="true" outlineLevel="0" collapsed="false">
      <c r="A6" s="3" t="s">
        <v>30</v>
      </c>
      <c r="B6" s="3" t="n">
        <v>412755</v>
      </c>
      <c r="C6" s="3" t="s">
        <v>109</v>
      </c>
      <c r="D6" s="3" t="s">
        <v>121</v>
      </c>
      <c r="E6" s="3" t="s">
        <v>122</v>
      </c>
      <c r="F6" s="3" t="s">
        <v>40</v>
      </c>
      <c r="G6" s="3" t="s">
        <v>83</v>
      </c>
      <c r="H6" s="3" t="s">
        <v>84</v>
      </c>
      <c r="I6" s="3" t="s">
        <v>85</v>
      </c>
      <c r="J6" s="3" t="n">
        <v>36.840611</v>
      </c>
      <c r="K6" s="3" t="n">
        <v>10.571669</v>
      </c>
      <c r="L6" s="3" t="s">
        <v>123</v>
      </c>
      <c r="M6" s="3" t="s">
        <v>86</v>
      </c>
      <c r="N6" s="3" t="s">
        <v>87</v>
      </c>
      <c r="O6" s="3" t="s">
        <v>105</v>
      </c>
      <c r="P6" s="3" t="s">
        <v>113</v>
      </c>
      <c r="Q6" s="3" t="n">
        <f aca="false">Chimie_Tableau1!B9</f>
        <v>76</v>
      </c>
      <c r="R6" s="3" t="n">
        <f aca="false">Chimie_Tableau1!C9</f>
        <v>7.42</v>
      </c>
      <c r="S6" s="3" t="n">
        <f aca="false">Chimie_Tableau1!D9*1000</f>
        <v>19210</v>
      </c>
      <c r="T6" s="3" t="n">
        <f aca="false">Chimie_Tableau1!E9*1000</f>
        <v>10400</v>
      </c>
      <c r="U6" s="3" t="n">
        <f aca="false">Chimie_Tableau1!F9*1000</f>
        <v>290</v>
      </c>
      <c r="V6" s="3" t="n">
        <f aca="false">Chimie_Tableau1!G9*1000</f>
        <v>1070</v>
      </c>
      <c r="W6" s="3" t="n">
        <f aca="false">Chimie_Tableau1!H9*1000</f>
        <v>390</v>
      </c>
      <c r="X6" s="3" t="n">
        <f aca="false">Chimie_Tableau1!I9*1000</f>
        <v>1160</v>
      </c>
      <c r="Y6" s="3" t="n">
        <f aca="false">Chimie_Tableau1!J9*1000</f>
        <v>1840</v>
      </c>
      <c r="Z6" s="3" t="s">
        <v>114</v>
      </c>
      <c r="AA6" s="3" t="s">
        <v>115</v>
      </c>
      <c r="AB6" s="3" t="n">
        <v>4</v>
      </c>
      <c r="AC6" s="3" t="s">
        <v>93</v>
      </c>
    </row>
    <row r="7" customFormat="false" ht="14.25" hidden="false" customHeight="true" outlineLevel="0" collapsed="false">
      <c r="A7" s="3" t="s">
        <v>31</v>
      </c>
      <c r="B7" s="3" t="n">
        <v>412755</v>
      </c>
      <c r="C7" s="3" t="s">
        <v>109</v>
      </c>
      <c r="D7" s="3" t="s">
        <v>124</v>
      </c>
      <c r="E7" s="3" t="s">
        <v>125</v>
      </c>
      <c r="F7" s="3" t="s">
        <v>40</v>
      </c>
      <c r="G7" s="3" t="s">
        <v>83</v>
      </c>
      <c r="H7" s="3" t="s">
        <v>84</v>
      </c>
      <c r="I7" s="3" t="s">
        <v>85</v>
      </c>
      <c r="J7" s="3" t="n">
        <v>36.840678</v>
      </c>
      <c r="K7" s="3" t="n">
        <v>10.571339</v>
      </c>
      <c r="L7" s="3" t="s">
        <v>112</v>
      </c>
      <c r="M7" s="3" t="s">
        <v>86</v>
      </c>
      <c r="N7" s="3" t="s">
        <v>87</v>
      </c>
      <c r="O7" s="3" t="s">
        <v>105</v>
      </c>
      <c r="P7" s="3" t="s">
        <v>113</v>
      </c>
      <c r="Q7" s="3" t="n">
        <f aca="false">Chimie_Tableau1!B10</f>
        <v>43</v>
      </c>
      <c r="R7" s="3" t="n">
        <f aca="false">Chimie_Tableau1!C10</f>
        <v>7.87</v>
      </c>
      <c r="S7" s="3" t="n">
        <f aca="false">Chimie_Tableau1!D10*1000</f>
        <v>18200</v>
      </c>
      <c r="T7" s="3" t="n">
        <f aca="false">Chimie_Tableau1!E10*1000</f>
        <v>9630</v>
      </c>
      <c r="U7" s="3" t="n">
        <f aca="false">Chimie_Tableau1!F10*1000</f>
        <v>280</v>
      </c>
      <c r="V7" s="3" t="n">
        <f aca="false">Chimie_Tableau1!G10*1000</f>
        <v>1050</v>
      </c>
      <c r="W7" s="3" t="n">
        <f aca="false">Chimie_Tableau1!H10*1000</f>
        <v>370</v>
      </c>
      <c r="X7" s="3" t="n">
        <f aca="false">Chimie_Tableau1!I10*1000</f>
        <v>2280</v>
      </c>
      <c r="Y7" s="3" t="n">
        <f aca="false">Chimie_Tableau1!J10*1000</f>
        <v>430</v>
      </c>
      <c r="Z7" s="3" t="s">
        <v>114</v>
      </c>
      <c r="AA7" s="3" t="s">
        <v>115</v>
      </c>
      <c r="AB7" s="3" t="n">
        <v>4</v>
      </c>
      <c r="AC7" s="3" t="s">
        <v>93</v>
      </c>
    </row>
    <row r="8" customFormat="false" ht="14.25" hidden="false" customHeight="true" outlineLevel="0" collapsed="false">
      <c r="A8" s="3" t="s">
        <v>32</v>
      </c>
      <c r="B8" s="3" t="n">
        <v>412755</v>
      </c>
      <c r="C8" s="3" t="s">
        <v>109</v>
      </c>
      <c r="D8" s="3" t="s">
        <v>126</v>
      </c>
      <c r="E8" s="3" t="s">
        <v>127</v>
      </c>
      <c r="F8" s="3" t="s">
        <v>40</v>
      </c>
      <c r="G8" s="3" t="s">
        <v>83</v>
      </c>
      <c r="H8" s="3" t="s">
        <v>84</v>
      </c>
      <c r="I8" s="3" t="s">
        <v>85</v>
      </c>
      <c r="J8" s="3" t="n">
        <v>36.840678</v>
      </c>
      <c r="K8" s="3" t="n">
        <v>10.571339</v>
      </c>
      <c r="L8" s="3" t="s">
        <v>120</v>
      </c>
      <c r="M8" s="3" t="s">
        <v>86</v>
      </c>
      <c r="N8" s="3" t="s">
        <v>87</v>
      </c>
      <c r="O8" s="3" t="s">
        <v>105</v>
      </c>
      <c r="P8" s="3" t="s">
        <v>113</v>
      </c>
      <c r="Q8" s="3" t="n">
        <f aca="false">Chimie_Tableau1!B11</f>
        <v>46</v>
      </c>
      <c r="R8" s="3" t="n">
        <f aca="false">Chimie_Tableau1!C11</f>
        <v>7.62</v>
      </c>
      <c r="S8" s="3" t="n">
        <f aca="false">Chimie_Tableau1!D11*1000</f>
        <v>16100</v>
      </c>
      <c r="T8" s="3" t="n">
        <f aca="false">Chimie_Tableau1!E11*1000</f>
        <v>8300</v>
      </c>
      <c r="U8" s="3" t="n">
        <f aca="false">Chimie_Tableau1!F11*1000</f>
        <v>300</v>
      </c>
      <c r="V8" s="3" t="n">
        <f aca="false">Chimie_Tableau1!G11*1000</f>
        <v>930</v>
      </c>
      <c r="W8" s="3" t="n">
        <f aca="false">Chimie_Tableau1!H11*1000</f>
        <v>410</v>
      </c>
      <c r="X8" s="3" t="n">
        <f aca="false">Chimie_Tableau1!I11*1000</f>
        <v>2050</v>
      </c>
      <c r="Y8" s="3" t="n">
        <f aca="false">Chimie_Tableau1!J11*1000</f>
        <v>1750</v>
      </c>
      <c r="Z8" s="3" t="s">
        <v>114</v>
      </c>
      <c r="AA8" s="3" t="s">
        <v>115</v>
      </c>
      <c r="AB8" s="3" t="n">
        <v>4</v>
      </c>
      <c r="AC8" s="3" t="s">
        <v>93</v>
      </c>
    </row>
    <row r="9" customFormat="false" ht="14.25" hidden="false" customHeight="true" outlineLevel="0" collapsed="false">
      <c r="A9" s="3" t="s">
        <v>33</v>
      </c>
      <c r="B9" s="3" t="n">
        <v>412755</v>
      </c>
      <c r="C9" s="3" t="s">
        <v>109</v>
      </c>
      <c r="D9" s="3" t="s">
        <v>128</v>
      </c>
      <c r="E9" s="3" t="s">
        <v>129</v>
      </c>
      <c r="F9" s="3" t="s">
        <v>40</v>
      </c>
      <c r="G9" s="3" t="s">
        <v>83</v>
      </c>
      <c r="H9" s="3" t="s">
        <v>84</v>
      </c>
      <c r="I9" s="3" t="s">
        <v>85</v>
      </c>
      <c r="J9" s="3" t="n">
        <v>36.840678</v>
      </c>
      <c r="K9" s="3" t="n">
        <v>10.571339</v>
      </c>
      <c r="L9" s="3" t="s">
        <v>123</v>
      </c>
      <c r="M9" s="3" t="s">
        <v>86</v>
      </c>
      <c r="N9" s="3" t="s">
        <v>87</v>
      </c>
      <c r="O9" s="3" t="s">
        <v>105</v>
      </c>
      <c r="P9" s="3" t="s">
        <v>113</v>
      </c>
      <c r="Q9" s="3" t="n">
        <f aca="false">Chimie_Tableau1!B12</f>
        <v>51</v>
      </c>
      <c r="R9" s="3" t="n">
        <f aca="false">Chimie_Tableau1!C12</f>
        <v>7.32</v>
      </c>
      <c r="S9" s="3" t="n">
        <f aca="false">Chimie_Tableau1!D12*1000</f>
        <v>19030</v>
      </c>
      <c r="T9" s="3" t="n">
        <f aca="false">Chimie_Tableau1!E12*1000</f>
        <v>10190</v>
      </c>
      <c r="U9" s="3" t="n">
        <f aca="false">Chimie_Tableau1!F12*1000</f>
        <v>300</v>
      </c>
      <c r="V9" s="3" t="n">
        <f aca="false">Chimie_Tableau1!G12*1000</f>
        <v>790</v>
      </c>
      <c r="W9" s="3" t="n">
        <f aca="false">Chimie_Tableau1!H12*1000</f>
        <v>380</v>
      </c>
      <c r="X9" s="3" t="n">
        <f aca="false">Chimie_Tableau1!I12*1000</f>
        <v>1190</v>
      </c>
      <c r="Y9" s="3" t="n">
        <f aca="false">Chimie_Tableau1!J12*1000</f>
        <v>1890</v>
      </c>
      <c r="Z9" s="3" t="s">
        <v>114</v>
      </c>
      <c r="AA9" s="3" t="s">
        <v>115</v>
      </c>
      <c r="AB9" s="3" t="n">
        <v>4</v>
      </c>
      <c r="AC9" s="3" t="s">
        <v>93</v>
      </c>
    </row>
    <row r="10" customFormat="false" ht="14.25" hidden="false" customHeight="true" outlineLevel="0" collapsed="false">
      <c r="A10" s="3" t="s">
        <v>34</v>
      </c>
      <c r="B10" s="3" t="n">
        <v>749907</v>
      </c>
      <c r="C10" s="3" t="s">
        <v>130</v>
      </c>
      <c r="D10" s="3" t="s">
        <v>131</v>
      </c>
      <c r="E10" s="3" t="s">
        <v>132</v>
      </c>
      <c r="F10" s="3" t="s">
        <v>40</v>
      </c>
      <c r="G10" s="3" t="s">
        <v>83</v>
      </c>
      <c r="H10" s="3" t="s">
        <v>84</v>
      </c>
      <c r="I10" s="3" t="s">
        <v>85</v>
      </c>
      <c r="J10" s="3" t="n">
        <v>36.840483</v>
      </c>
      <c r="K10" s="3" t="n">
        <v>10.572539</v>
      </c>
      <c r="L10" s="3" t="s">
        <v>112</v>
      </c>
      <c r="M10" s="3" t="s">
        <v>97</v>
      </c>
      <c r="N10" s="3" t="s">
        <v>98</v>
      </c>
      <c r="O10" s="3" t="s">
        <v>99</v>
      </c>
      <c r="P10" s="3" t="s">
        <v>133</v>
      </c>
      <c r="Q10" s="3" t="n">
        <f aca="false">Chimie_Tableau1!B13</f>
        <v>41</v>
      </c>
      <c r="R10" s="3" t="n">
        <f aca="false">Chimie_Tableau1!C13</f>
        <v>7.73</v>
      </c>
      <c r="S10" s="3" t="n">
        <f aca="false">Chimie_Tableau1!D13*1000</f>
        <v>8960</v>
      </c>
      <c r="T10" s="3" t="n">
        <f aca="false">Chimie_Tableau1!E13*1000</f>
        <v>4830</v>
      </c>
      <c r="U10" s="3" t="n">
        <f aca="false">Chimie_Tableau1!F13*1000</f>
        <v>100</v>
      </c>
      <c r="V10" s="3" t="n">
        <f aca="false">Chimie_Tableau1!G13*1000</f>
        <v>380</v>
      </c>
      <c r="W10" s="3" t="n">
        <f aca="false">Chimie_Tableau1!H13*1000</f>
        <v>430</v>
      </c>
      <c r="X10" s="3" t="n">
        <f aca="false">Chimie_Tableau1!I13*1000</f>
        <v>1850</v>
      </c>
      <c r="Y10" s="3" t="n">
        <f aca="false">Chimie_Tableau1!J13*1000</f>
        <v>2830</v>
      </c>
      <c r="Z10" s="3" t="s">
        <v>114</v>
      </c>
      <c r="AA10" s="3" t="s">
        <v>115</v>
      </c>
      <c r="AB10" s="3" t="n">
        <v>4</v>
      </c>
      <c r="AC10" s="3" t="s">
        <v>93</v>
      </c>
    </row>
    <row r="11" customFormat="false" ht="14.25" hidden="false" customHeight="true" outlineLevel="0" collapsed="false">
      <c r="A11" s="3" t="s">
        <v>35</v>
      </c>
      <c r="B11" s="3" t="n">
        <v>749907</v>
      </c>
      <c r="C11" s="3" t="s">
        <v>130</v>
      </c>
      <c r="D11" s="3" t="s">
        <v>134</v>
      </c>
      <c r="E11" s="3" t="s">
        <v>135</v>
      </c>
      <c r="F11" s="3" t="s">
        <v>40</v>
      </c>
      <c r="G11" s="3" t="s">
        <v>83</v>
      </c>
      <c r="H11" s="3" t="s">
        <v>84</v>
      </c>
      <c r="I11" s="3" t="s">
        <v>85</v>
      </c>
      <c r="J11" s="3" t="n">
        <v>36.840483</v>
      </c>
      <c r="K11" s="3" t="n">
        <v>10.572539</v>
      </c>
      <c r="L11" s="3" t="s">
        <v>112</v>
      </c>
      <c r="M11" s="3" t="s">
        <v>97</v>
      </c>
      <c r="N11" s="3" t="s">
        <v>98</v>
      </c>
      <c r="O11" s="3" t="s">
        <v>99</v>
      </c>
      <c r="P11" s="3" t="s">
        <v>133</v>
      </c>
      <c r="Q11" s="3" t="n">
        <f aca="false">Chimie_Tableau1!B14</f>
        <v>34</v>
      </c>
      <c r="R11" s="3" t="n">
        <f aca="false">Chimie_Tableau1!C14</f>
        <v>7.68</v>
      </c>
      <c r="S11" s="3" t="n">
        <f aca="false">Chimie_Tableau1!D14*1000</f>
        <v>8340</v>
      </c>
      <c r="T11" s="3" t="n">
        <f aca="false">Chimie_Tableau1!E14*1000</f>
        <v>4380</v>
      </c>
      <c r="U11" s="3" t="n">
        <f aca="false">Chimie_Tableau1!F14*1000</f>
        <v>270</v>
      </c>
      <c r="V11" s="3" t="n">
        <f aca="false">Chimie_Tableau1!G14*1000</f>
        <v>400</v>
      </c>
      <c r="W11" s="3" t="n">
        <f aca="false">Chimie_Tableau1!H14*1000</f>
        <v>410</v>
      </c>
      <c r="X11" s="3" t="n">
        <f aca="false">Chimie_Tableau1!I14*1000</f>
        <v>1310</v>
      </c>
      <c r="Y11" s="3" t="n">
        <f aca="false">Chimie_Tableau1!J14*1000</f>
        <v>3090</v>
      </c>
      <c r="Z11" s="3" t="s">
        <v>114</v>
      </c>
      <c r="AA11" s="3" t="s">
        <v>115</v>
      </c>
      <c r="AB11" s="3" t="n">
        <v>4</v>
      </c>
      <c r="AC11" s="3" t="s">
        <v>93</v>
      </c>
    </row>
    <row r="12" customFormat="false" ht="14.25" hidden="false" customHeight="true" outlineLevel="0" collapsed="false">
      <c r="A12" s="3" t="s">
        <v>36</v>
      </c>
      <c r="B12" s="3" t="n">
        <v>749907</v>
      </c>
      <c r="C12" s="3" t="s">
        <v>130</v>
      </c>
      <c r="D12" s="3" t="s">
        <v>136</v>
      </c>
      <c r="E12" s="3" t="s">
        <v>137</v>
      </c>
      <c r="F12" s="3" t="s">
        <v>40</v>
      </c>
      <c r="G12" s="3" t="s">
        <v>83</v>
      </c>
      <c r="H12" s="3" t="s">
        <v>84</v>
      </c>
      <c r="I12" s="3" t="s">
        <v>85</v>
      </c>
      <c r="J12" s="3" t="n">
        <v>36.840483</v>
      </c>
      <c r="K12" s="3" t="n">
        <v>10.572539</v>
      </c>
      <c r="L12" s="3" t="s">
        <v>120</v>
      </c>
      <c r="M12" s="3" t="s">
        <v>97</v>
      </c>
      <c r="N12" s="3" t="s">
        <v>98</v>
      </c>
      <c r="O12" s="3" t="s">
        <v>99</v>
      </c>
      <c r="P12" s="3" t="s">
        <v>133</v>
      </c>
      <c r="Q12" s="3" t="n">
        <f aca="false">Chimie_Tableau1!B15</f>
        <v>43</v>
      </c>
      <c r="R12" s="3" t="n">
        <f aca="false">Chimie_Tableau1!C15</f>
        <v>7.85</v>
      </c>
      <c r="S12" s="3" t="n">
        <f aca="false">Chimie_Tableau1!D15*1000</f>
        <v>8510</v>
      </c>
      <c r="T12" s="3" t="n">
        <f aca="false">Chimie_Tableau1!E15*1000</f>
        <v>4780</v>
      </c>
      <c r="U12" s="3" t="n">
        <f aca="false">Chimie_Tableau1!F15*1000</f>
        <v>260</v>
      </c>
      <c r="V12" s="3" t="n">
        <f aca="false">Chimie_Tableau1!G15*1000</f>
        <v>330</v>
      </c>
      <c r="W12" s="3" t="n">
        <f aca="false">Chimie_Tableau1!H15*1000</f>
        <v>480</v>
      </c>
      <c r="X12" s="3" t="n">
        <f aca="false">Chimie_Tableau1!I15*1000</f>
        <v>1110</v>
      </c>
      <c r="Y12" s="3" t="n">
        <f aca="false">Chimie_Tableau1!J15*1000</f>
        <v>4090</v>
      </c>
      <c r="Z12" s="3" t="s">
        <v>114</v>
      </c>
      <c r="AA12" s="3" t="s">
        <v>115</v>
      </c>
      <c r="AB12" s="3" t="n">
        <v>4</v>
      </c>
      <c r="AC12" s="3" t="s">
        <v>93</v>
      </c>
    </row>
    <row r="13" customFormat="false" ht="14.25" hidden="false" customHeight="true" outlineLevel="0" collapsed="false">
      <c r="A13" s="3" t="s">
        <v>37</v>
      </c>
      <c r="B13" s="3" t="n">
        <v>749907</v>
      </c>
      <c r="C13" s="3" t="s">
        <v>130</v>
      </c>
      <c r="D13" s="3" t="s">
        <v>138</v>
      </c>
      <c r="E13" s="3" t="s">
        <v>139</v>
      </c>
      <c r="F13" s="3" t="s">
        <v>40</v>
      </c>
      <c r="G13" s="3" t="s">
        <v>83</v>
      </c>
      <c r="H13" s="3" t="s">
        <v>84</v>
      </c>
      <c r="I13" s="3" t="s">
        <v>85</v>
      </c>
      <c r="J13" s="3" t="n">
        <v>36.840483</v>
      </c>
      <c r="K13" s="3" t="n">
        <v>10.572539</v>
      </c>
      <c r="L13" s="3" t="s">
        <v>123</v>
      </c>
      <c r="M13" s="3" t="s">
        <v>97</v>
      </c>
      <c r="N13" s="3" t="s">
        <v>98</v>
      </c>
      <c r="O13" s="3" t="s">
        <v>99</v>
      </c>
      <c r="P13" s="3" t="s">
        <v>133</v>
      </c>
      <c r="Q13" s="3" t="n">
        <f aca="false">Chimie_Tableau1!B16</f>
        <v>43</v>
      </c>
      <c r="R13" s="3" t="n">
        <f aca="false">Chimie_Tableau1!C16</f>
        <v>7.65</v>
      </c>
      <c r="S13" s="3" t="n">
        <f aca="false">Chimie_Tableau1!D16*1000</f>
        <v>9520</v>
      </c>
      <c r="T13" s="3" t="n">
        <f aca="false">Chimie_Tableau1!E16*1000</f>
        <v>5120</v>
      </c>
      <c r="U13" s="3" t="n">
        <f aca="false">Chimie_Tableau1!F16*1000</f>
        <v>290</v>
      </c>
      <c r="V13" s="3" t="n">
        <f aca="false">Chimie_Tableau1!G16*1000</f>
        <v>220</v>
      </c>
      <c r="W13" s="3" t="n">
        <f aca="false">Chimie_Tableau1!H16*1000</f>
        <v>430</v>
      </c>
      <c r="X13" s="3" t="n">
        <f aca="false">Chimie_Tableau1!I16*1000</f>
        <v>1150</v>
      </c>
      <c r="Y13" s="3" t="n">
        <f aca="false">Chimie_Tableau1!J16*1000</f>
        <v>4870</v>
      </c>
      <c r="Z13" s="3" t="s">
        <v>114</v>
      </c>
      <c r="AA13" s="3" t="s">
        <v>115</v>
      </c>
      <c r="AB13" s="3" t="n">
        <v>4</v>
      </c>
      <c r="AC13" s="3"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14"/>
    <col collapsed="false" customWidth="true" hidden="false" outlineLevel="0" max="4" min="4" style="1" width="16"/>
    <col collapsed="false" customWidth="true" hidden="false" outlineLevel="0" max="5" min="5" style="1" width="19"/>
    <col collapsed="false" customWidth="true" hidden="false" outlineLevel="0" max="6" min="6" style="1" width="18"/>
    <col collapsed="false" customWidth="true" hidden="false" outlineLevel="0" max="7" min="7" style="1" width="16"/>
    <col collapsed="false" customWidth="true" hidden="false" outlineLevel="0" max="8" min="8" style="1" width="14"/>
    <col collapsed="false" customWidth="true" hidden="false" outlineLevel="0" max="9" min="9" style="1" width="31"/>
    <col collapsed="false" customWidth="true" hidden="false" outlineLevel="0" max="10" min="10" style="1" width="19"/>
    <col collapsed="false" customWidth="true" hidden="false" outlineLevel="0" max="11" min="11" style="1" width="18"/>
    <col collapsed="false" customWidth="true" hidden="false" outlineLevel="0" max="12" min="12" style="1" width="19"/>
    <col collapsed="false" customWidth="true" hidden="false" outlineLevel="0" max="13" min="13" style="1" width="18"/>
  </cols>
  <sheetData>
    <row r="1" customFormat="false" ht="14.25" hidden="false" customHeight="true" outlineLevel="0" collapsed="false">
      <c r="A1" s="4" t="s">
        <v>45</v>
      </c>
      <c r="B1" s="4" t="s">
        <v>140</v>
      </c>
      <c r="C1" s="4" t="s">
        <v>141</v>
      </c>
      <c r="D1" s="4" t="s">
        <v>142</v>
      </c>
      <c r="E1" s="4" t="s">
        <v>143</v>
      </c>
      <c r="F1" s="4" t="s">
        <v>144</v>
      </c>
      <c r="G1" s="4" t="s">
        <v>145</v>
      </c>
      <c r="H1" s="4" t="s">
        <v>146</v>
      </c>
      <c r="I1" s="4" t="s">
        <v>147</v>
      </c>
      <c r="J1" s="4" t="s">
        <v>148</v>
      </c>
      <c r="K1" s="4" t="s">
        <v>149</v>
      </c>
      <c r="L1" s="4" t="s">
        <v>150</v>
      </c>
      <c r="M1" s="4" t="s">
        <v>151</v>
      </c>
    </row>
    <row r="2" customFormat="false" ht="14.25" hidden="false" customHeight="true" outlineLevel="0" collapsed="false">
      <c r="A2" s="3" t="s">
        <v>22</v>
      </c>
      <c r="B2" s="3" t="s">
        <v>152</v>
      </c>
      <c r="C2" s="3" t="s">
        <v>153</v>
      </c>
      <c r="D2" s="3" t="s">
        <v>154</v>
      </c>
      <c r="E2" s="3" t="s">
        <v>155</v>
      </c>
      <c r="F2" s="3" t="s">
        <v>156</v>
      </c>
      <c r="G2" s="3" t="s">
        <v>157</v>
      </c>
      <c r="H2" s="3" t="n">
        <v>291</v>
      </c>
      <c r="I2" s="3" t="s">
        <v>158</v>
      </c>
      <c r="J2" s="3" t="s">
        <v>159</v>
      </c>
      <c r="K2" s="3" t="s">
        <v>160</v>
      </c>
      <c r="L2" s="3" t="s">
        <v>161</v>
      </c>
      <c r="M2" s="3" t="s">
        <v>162</v>
      </c>
    </row>
    <row r="3" customFormat="false" ht="14.25" hidden="false" customHeight="true" outlineLevel="0" collapsed="false">
      <c r="A3" s="3" t="s">
        <v>24</v>
      </c>
      <c r="B3" s="3" t="s">
        <v>152</v>
      </c>
      <c r="C3" s="3" t="s">
        <v>163</v>
      </c>
      <c r="D3" s="3" t="s">
        <v>154</v>
      </c>
      <c r="E3" s="3" t="s">
        <v>155</v>
      </c>
      <c r="F3" s="3" t="s">
        <v>156</v>
      </c>
      <c r="G3" s="3" t="s">
        <v>157</v>
      </c>
      <c r="H3" s="3" t="n">
        <v>291</v>
      </c>
      <c r="I3" s="3" t="s">
        <v>164</v>
      </c>
      <c r="J3" s="3" t="s">
        <v>165</v>
      </c>
      <c r="K3" s="3" t="s">
        <v>166</v>
      </c>
      <c r="L3" s="3" t="s">
        <v>167</v>
      </c>
      <c r="M3" s="3" t="s">
        <v>168</v>
      </c>
    </row>
    <row r="4" customFormat="false" ht="14.25" hidden="false" customHeight="true" outlineLevel="0" collapsed="false">
      <c r="A4" s="3" t="s">
        <v>25</v>
      </c>
      <c r="B4" s="3" t="s">
        <v>152</v>
      </c>
      <c r="C4" s="3" t="s">
        <v>169</v>
      </c>
      <c r="D4" s="3" t="s">
        <v>154</v>
      </c>
      <c r="E4" s="3" t="s">
        <v>155</v>
      </c>
      <c r="F4" s="3" t="s">
        <v>156</v>
      </c>
      <c r="G4" s="3" t="s">
        <v>157</v>
      </c>
      <c r="H4" s="3" t="n">
        <v>291</v>
      </c>
      <c r="I4" s="3" t="s">
        <v>164</v>
      </c>
      <c r="J4" s="3" t="s">
        <v>170</v>
      </c>
      <c r="K4" s="3" t="s">
        <v>171</v>
      </c>
      <c r="L4" s="3" t="s">
        <v>172</v>
      </c>
      <c r="M4" s="3" t="s">
        <v>173</v>
      </c>
    </row>
    <row r="5" customFormat="false" ht="14.25" hidden="false" customHeight="true" outlineLevel="0" collapsed="false">
      <c r="A5" s="3" t="s">
        <v>26</v>
      </c>
      <c r="B5" s="3" t="s">
        <v>152</v>
      </c>
      <c r="C5" s="3" t="s">
        <v>174</v>
      </c>
      <c r="D5" s="3" t="s">
        <v>154</v>
      </c>
      <c r="E5" s="3" t="s">
        <v>155</v>
      </c>
      <c r="F5" s="3" t="s">
        <v>156</v>
      </c>
      <c r="G5" s="3" t="s">
        <v>157</v>
      </c>
      <c r="H5" s="3" t="n">
        <v>291</v>
      </c>
      <c r="I5" s="3" t="s">
        <v>164</v>
      </c>
      <c r="J5" s="3" t="s">
        <v>175</v>
      </c>
      <c r="K5" s="3" t="s">
        <v>176</v>
      </c>
      <c r="L5" s="3" t="s">
        <v>177</v>
      </c>
      <c r="M5" s="3" t="s">
        <v>178</v>
      </c>
    </row>
    <row r="6" customFormat="false" ht="14.25" hidden="false" customHeight="true" outlineLevel="0" collapsed="false">
      <c r="A6" s="3" t="s">
        <v>27</v>
      </c>
      <c r="B6" s="3" t="s">
        <v>152</v>
      </c>
      <c r="C6" s="3" t="s">
        <v>179</v>
      </c>
      <c r="D6" s="3" t="s">
        <v>154</v>
      </c>
      <c r="E6" s="3" t="s">
        <v>155</v>
      </c>
      <c r="F6" s="3" t="s">
        <v>156</v>
      </c>
      <c r="G6" s="3" t="s">
        <v>157</v>
      </c>
      <c r="H6" s="3" t="n">
        <v>291</v>
      </c>
      <c r="I6" s="3" t="s">
        <v>164</v>
      </c>
      <c r="J6" s="3" t="s">
        <v>180</v>
      </c>
      <c r="K6" s="3" t="s">
        <v>181</v>
      </c>
      <c r="L6" s="3" t="s">
        <v>182</v>
      </c>
      <c r="M6" s="3" t="s">
        <v>183</v>
      </c>
    </row>
    <row r="7" customFormat="false" ht="14.25" hidden="false" customHeight="true" outlineLevel="0" collapsed="false">
      <c r="A7" s="3" t="s">
        <v>28</v>
      </c>
      <c r="B7" s="3" t="s">
        <v>152</v>
      </c>
      <c r="C7" s="3" t="s">
        <v>184</v>
      </c>
      <c r="D7" s="3" t="s">
        <v>154</v>
      </c>
      <c r="E7" s="3" t="s">
        <v>155</v>
      </c>
      <c r="F7" s="3" t="s">
        <v>156</v>
      </c>
      <c r="G7" s="3" t="s">
        <v>157</v>
      </c>
      <c r="H7" s="3" t="n">
        <v>291</v>
      </c>
      <c r="I7" s="3" t="s">
        <v>164</v>
      </c>
      <c r="J7" s="3" t="s">
        <v>185</v>
      </c>
      <c r="K7" s="3" t="s">
        <v>186</v>
      </c>
      <c r="L7" s="3" t="s">
        <v>187</v>
      </c>
      <c r="M7" s="3" t="s">
        <v>188</v>
      </c>
    </row>
    <row r="8" customFormat="false" ht="14.25" hidden="false" customHeight="true" outlineLevel="0" collapsed="false">
      <c r="A8" s="3" t="s">
        <v>29</v>
      </c>
      <c r="B8" s="3" t="s">
        <v>152</v>
      </c>
      <c r="C8" s="3" t="s">
        <v>189</v>
      </c>
      <c r="D8" s="3" t="s">
        <v>154</v>
      </c>
      <c r="E8" s="3" t="s">
        <v>155</v>
      </c>
      <c r="F8" s="3" t="s">
        <v>156</v>
      </c>
      <c r="G8" s="3" t="s">
        <v>157</v>
      </c>
      <c r="H8" s="3" t="n">
        <v>291</v>
      </c>
      <c r="I8" s="3" t="s">
        <v>164</v>
      </c>
      <c r="J8" s="3" t="s">
        <v>190</v>
      </c>
      <c r="K8" s="3" t="s">
        <v>191</v>
      </c>
      <c r="L8" s="3" t="s">
        <v>192</v>
      </c>
      <c r="M8" s="3" t="s">
        <v>193</v>
      </c>
    </row>
    <row r="9" customFormat="false" ht="14.25" hidden="false" customHeight="true" outlineLevel="0" collapsed="false">
      <c r="A9" s="3" t="s">
        <v>30</v>
      </c>
      <c r="B9" s="3" t="s">
        <v>152</v>
      </c>
      <c r="C9" s="3" t="s">
        <v>194</v>
      </c>
      <c r="D9" s="3" t="s">
        <v>154</v>
      </c>
      <c r="E9" s="3" t="s">
        <v>155</v>
      </c>
      <c r="F9" s="3" t="s">
        <v>156</v>
      </c>
      <c r="G9" s="3" t="s">
        <v>157</v>
      </c>
      <c r="H9" s="3" t="n">
        <v>291</v>
      </c>
      <c r="I9" s="3" t="s">
        <v>164</v>
      </c>
      <c r="J9" s="3" t="s">
        <v>195</v>
      </c>
      <c r="K9" s="3" t="s">
        <v>196</v>
      </c>
      <c r="L9" s="3" t="s">
        <v>197</v>
      </c>
      <c r="M9" s="3" t="s">
        <v>198</v>
      </c>
    </row>
    <row r="10" customFormat="false" ht="14.25" hidden="false" customHeight="true" outlineLevel="0" collapsed="false">
      <c r="A10" s="3" t="s">
        <v>31</v>
      </c>
      <c r="B10" s="3" t="s">
        <v>152</v>
      </c>
      <c r="C10" s="3" t="s">
        <v>199</v>
      </c>
      <c r="D10" s="3" t="s">
        <v>154</v>
      </c>
      <c r="E10" s="3" t="s">
        <v>155</v>
      </c>
      <c r="F10" s="3" t="s">
        <v>156</v>
      </c>
      <c r="G10" s="3" t="s">
        <v>157</v>
      </c>
      <c r="H10" s="3" t="n">
        <v>291</v>
      </c>
      <c r="I10" s="3" t="s">
        <v>164</v>
      </c>
      <c r="J10" s="3" t="s">
        <v>200</v>
      </c>
      <c r="K10" s="3" t="s">
        <v>201</v>
      </c>
      <c r="L10" s="3" t="s">
        <v>202</v>
      </c>
      <c r="M10" s="3" t="s">
        <v>203</v>
      </c>
    </row>
    <row r="11" customFormat="false" ht="14.25" hidden="false" customHeight="true" outlineLevel="0" collapsed="false">
      <c r="A11" s="3" t="s">
        <v>32</v>
      </c>
      <c r="B11" s="3" t="s">
        <v>152</v>
      </c>
      <c r="C11" s="3" t="s">
        <v>204</v>
      </c>
      <c r="D11" s="3" t="s">
        <v>154</v>
      </c>
      <c r="E11" s="3" t="s">
        <v>155</v>
      </c>
      <c r="F11" s="3" t="s">
        <v>156</v>
      </c>
      <c r="G11" s="3" t="s">
        <v>157</v>
      </c>
      <c r="H11" s="3" t="n">
        <v>291</v>
      </c>
      <c r="I11" s="3" t="s">
        <v>164</v>
      </c>
      <c r="J11" s="3" t="s">
        <v>205</v>
      </c>
      <c r="K11" s="3" t="s">
        <v>206</v>
      </c>
      <c r="L11" s="3" t="s">
        <v>207</v>
      </c>
      <c r="M11" s="3" t="s">
        <v>208</v>
      </c>
    </row>
    <row r="12" customFormat="false" ht="14.25" hidden="false" customHeight="true" outlineLevel="0" collapsed="false">
      <c r="A12" s="3" t="s">
        <v>33</v>
      </c>
      <c r="B12" s="3" t="s">
        <v>152</v>
      </c>
      <c r="C12" s="3" t="s">
        <v>209</v>
      </c>
      <c r="D12" s="3" t="s">
        <v>154</v>
      </c>
      <c r="E12" s="3" t="s">
        <v>155</v>
      </c>
      <c r="F12" s="3" t="s">
        <v>156</v>
      </c>
      <c r="G12" s="3" t="s">
        <v>157</v>
      </c>
      <c r="H12" s="3" t="n">
        <v>291</v>
      </c>
      <c r="I12" s="3" t="s">
        <v>164</v>
      </c>
      <c r="J12" s="3" t="s">
        <v>210</v>
      </c>
      <c r="K12" s="3" t="s">
        <v>211</v>
      </c>
      <c r="L12" s="3" t="s">
        <v>212</v>
      </c>
      <c r="M12" s="3" t="s">
        <v>213</v>
      </c>
    </row>
    <row r="13" customFormat="false" ht="14.25" hidden="false" customHeight="true" outlineLevel="0" collapsed="false">
      <c r="A13" s="3" t="s">
        <v>34</v>
      </c>
      <c r="B13" s="3" t="s">
        <v>152</v>
      </c>
      <c r="C13" s="3" t="s">
        <v>214</v>
      </c>
      <c r="D13" s="3" t="s">
        <v>154</v>
      </c>
      <c r="E13" s="3" t="s">
        <v>155</v>
      </c>
      <c r="F13" s="3" t="s">
        <v>156</v>
      </c>
      <c r="G13" s="3" t="s">
        <v>157</v>
      </c>
      <c r="H13" s="3" t="n">
        <v>291</v>
      </c>
      <c r="I13" s="3" t="s">
        <v>164</v>
      </c>
      <c r="J13" s="3" t="s">
        <v>215</v>
      </c>
      <c r="K13" s="3" t="s">
        <v>216</v>
      </c>
      <c r="L13" s="3" t="s">
        <v>217</v>
      </c>
      <c r="M13" s="3" t="s">
        <v>218</v>
      </c>
    </row>
    <row r="14" customFormat="false" ht="14.25" hidden="false" customHeight="true" outlineLevel="0" collapsed="false">
      <c r="A14" s="3" t="s">
        <v>35</v>
      </c>
      <c r="B14" s="3" t="s">
        <v>152</v>
      </c>
      <c r="C14" s="3" t="s">
        <v>219</v>
      </c>
      <c r="D14" s="3" t="s">
        <v>154</v>
      </c>
      <c r="E14" s="3" t="s">
        <v>155</v>
      </c>
      <c r="F14" s="3" t="s">
        <v>156</v>
      </c>
      <c r="G14" s="3" t="s">
        <v>157</v>
      </c>
      <c r="H14" s="3" t="n">
        <v>291</v>
      </c>
      <c r="I14" s="3" t="s">
        <v>164</v>
      </c>
      <c r="J14" s="3" t="s">
        <v>220</v>
      </c>
      <c r="K14" s="3" t="s">
        <v>221</v>
      </c>
      <c r="L14" s="3" t="s">
        <v>222</v>
      </c>
      <c r="M14" s="3" t="s">
        <v>223</v>
      </c>
    </row>
    <row r="15" customFormat="false" ht="14.25" hidden="false" customHeight="true" outlineLevel="0" collapsed="false">
      <c r="A15" s="3" t="s">
        <v>36</v>
      </c>
      <c r="B15" s="3" t="s">
        <v>152</v>
      </c>
      <c r="C15" s="3" t="s">
        <v>224</v>
      </c>
      <c r="D15" s="3" t="s">
        <v>154</v>
      </c>
      <c r="E15" s="3" t="s">
        <v>155</v>
      </c>
      <c r="F15" s="3" t="s">
        <v>156</v>
      </c>
      <c r="G15" s="3" t="s">
        <v>157</v>
      </c>
      <c r="H15" s="3" t="n">
        <v>291</v>
      </c>
      <c r="I15" s="3" t="s">
        <v>164</v>
      </c>
      <c r="J15" s="3" t="s">
        <v>225</v>
      </c>
      <c r="K15" s="3" t="s">
        <v>226</v>
      </c>
      <c r="L15" s="3" t="s">
        <v>227</v>
      </c>
      <c r="M15" s="3" t="s">
        <v>228</v>
      </c>
    </row>
    <row r="16" customFormat="false" ht="14.25" hidden="false" customHeight="true" outlineLevel="0" collapsed="false">
      <c r="A16" s="3" t="s">
        <v>37</v>
      </c>
      <c r="B16" s="3" t="s">
        <v>152</v>
      </c>
      <c r="C16" s="3" t="s">
        <v>229</v>
      </c>
      <c r="D16" s="3" t="s">
        <v>154</v>
      </c>
      <c r="E16" s="3" t="s">
        <v>155</v>
      </c>
      <c r="F16" s="3" t="s">
        <v>156</v>
      </c>
      <c r="G16" s="3" t="s">
        <v>157</v>
      </c>
      <c r="H16" s="3" t="n">
        <v>291</v>
      </c>
      <c r="I16" s="3" t="s">
        <v>164</v>
      </c>
      <c r="J16" s="3" t="s">
        <v>230</v>
      </c>
      <c r="K16" s="3" t="s">
        <v>231</v>
      </c>
      <c r="L16" s="3" t="s">
        <v>232</v>
      </c>
      <c r="M16" s="3" t="s">
        <v>233</v>
      </c>
    </row>
    <row r="18" customFormat="false" ht="14.25" hidden="false" customHeight="true" outlineLevel="0" collapsed="false">
      <c r="A18" s="3"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2026-10-26T08:18:10Z</dcterms:created>
  <dc:creator>openpyxl</dc:creator>
  <dc:description/>
  <dc:language>en-US</dc:language>
  <cp:lastModifiedBy>LIEBGOTT Pierre pol</cp:lastModifiedBy>
  <dcterms:modified xsi:type="dcterms:W3CDTF">2026-10-26T08:31:23Z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